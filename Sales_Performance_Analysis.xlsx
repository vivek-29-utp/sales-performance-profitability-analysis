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katta\Downloads\SampleData\"/>
    </mc:Choice>
  </mc:AlternateContent>
  <xr:revisionPtr revIDLastSave="0" documentId="13_ncr:1_{F5694883-A67B-49B9-A91A-B3999D7FDFC7}" xr6:coauthVersionLast="47" xr6:coauthVersionMax="47" xr10:uidLastSave="{00000000-0000-0000-0000-000000000000}"/>
  <bookViews>
    <workbookView xWindow="-108" yWindow="-108" windowWidth="23256" windowHeight="13176" firstSheet="1" activeTab="4" xr2:uid="{00000000-000D-0000-FFFF-FFFF00000000}"/>
  </bookViews>
  <sheets>
    <sheet name="Yearly Sales Summary" sheetId="13" r:id="rId1"/>
    <sheet name="Sales by Region chart" sheetId="14" r:id="rId2"/>
    <sheet name="Monthly Sales Trend chart" sheetId="15" r:id="rId3"/>
    <sheet name="Sales by Rep" sheetId="16" r:id="rId4"/>
    <sheet name="SalesOrders" sheetId="1" r:id="rId5"/>
    <sheet name="Dashboard" sheetId="17" r:id="rId6"/>
  </sheets>
  <definedNames>
    <definedName name="Slicer_Order_Month">#N/A</definedName>
    <definedName name="Slicer_Order_Year">#N/A</definedName>
    <definedName name="Slicer_Region">#N/A</definedName>
    <definedName name="Slicer_Rep">#N/A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17" l="1"/>
  <c r="F5" i="17"/>
  <c r="H5" i="17"/>
  <c r="D5" i="17"/>
  <c r="B5" i="17"/>
  <c r="I2" i="1"/>
  <c r="J2" i="1" s="1"/>
  <c r="I3" i="1"/>
  <c r="K3" i="1" s="1"/>
  <c r="I4" i="1"/>
  <c r="J4" i="1" s="1"/>
  <c r="I5" i="1"/>
  <c r="J5" i="1" s="1"/>
  <c r="I6" i="1"/>
  <c r="J6" i="1" s="1"/>
  <c r="I7" i="1"/>
  <c r="J7" i="1" s="1"/>
  <c r="I8" i="1"/>
  <c r="J8" i="1" s="1"/>
  <c r="I9" i="1"/>
  <c r="K9" i="1" s="1"/>
  <c r="I10" i="1"/>
  <c r="K10" i="1" s="1"/>
  <c r="I11" i="1"/>
  <c r="K11" i="1" s="1"/>
  <c r="I12" i="1"/>
  <c r="J12" i="1" s="1"/>
  <c r="I13" i="1"/>
  <c r="J13" i="1" s="1"/>
  <c r="I14" i="1"/>
  <c r="J14" i="1" s="1"/>
  <c r="I15" i="1"/>
  <c r="K15" i="1" s="1"/>
  <c r="I16" i="1"/>
  <c r="J16" i="1" s="1"/>
  <c r="I17" i="1"/>
  <c r="J17" i="1" s="1"/>
  <c r="I18" i="1"/>
  <c r="J18" i="1" s="1"/>
  <c r="I19" i="1"/>
  <c r="J19" i="1" s="1"/>
  <c r="I20" i="1"/>
  <c r="J20" i="1" s="1"/>
  <c r="I21" i="1"/>
  <c r="J21" i="1" s="1"/>
  <c r="I22" i="1"/>
  <c r="J22" i="1" s="1"/>
  <c r="I23" i="1"/>
  <c r="J23" i="1" s="1"/>
  <c r="I24" i="1"/>
  <c r="J24" i="1" s="1"/>
  <c r="I25" i="1"/>
  <c r="K25" i="1" s="1"/>
  <c r="I26" i="1"/>
  <c r="J26" i="1" s="1"/>
  <c r="I27" i="1"/>
  <c r="K27" i="1" s="1"/>
  <c r="I28" i="1"/>
  <c r="J28" i="1" s="1"/>
  <c r="I29" i="1"/>
  <c r="J29" i="1" s="1"/>
  <c r="I30" i="1"/>
  <c r="J30" i="1" s="1"/>
  <c r="I31" i="1"/>
  <c r="J31" i="1" s="1"/>
  <c r="I32" i="1"/>
  <c r="J32" i="1" s="1"/>
  <c r="I33" i="1"/>
  <c r="K33" i="1" s="1"/>
  <c r="I34" i="1"/>
  <c r="K34" i="1" s="1"/>
  <c r="I35" i="1"/>
  <c r="K35" i="1" s="1"/>
  <c r="I36" i="1"/>
  <c r="J36" i="1" s="1"/>
  <c r="I37" i="1"/>
  <c r="J37" i="1" s="1"/>
  <c r="I38" i="1"/>
  <c r="J38" i="1" s="1"/>
  <c r="I39" i="1"/>
  <c r="K39" i="1" s="1"/>
  <c r="I40" i="1"/>
  <c r="J40" i="1" s="1"/>
  <c r="I41" i="1"/>
  <c r="J41" i="1" s="1"/>
  <c r="I42" i="1"/>
  <c r="J42" i="1" s="1"/>
  <c r="I43" i="1"/>
  <c r="J43" i="1" s="1"/>
  <c r="I44" i="1"/>
  <c r="J44"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K37" i="1" l="1"/>
  <c r="L37" i="1" s="1"/>
  <c r="K36" i="1"/>
  <c r="L36" i="1" s="1"/>
  <c r="K13" i="1"/>
  <c r="L13" i="1" s="1"/>
  <c r="J25" i="1"/>
  <c r="L25" i="1" s="1"/>
  <c r="K24" i="1"/>
  <c r="L24" i="1" s="1"/>
  <c r="L15" i="1"/>
  <c r="K12" i="1"/>
  <c r="L12" i="1" s="1"/>
  <c r="J27" i="1"/>
  <c r="L27" i="1" s="1"/>
  <c r="J3" i="1"/>
  <c r="L3" i="1" s="1"/>
  <c r="J35" i="1"/>
  <c r="L35" i="1" s="1"/>
  <c r="J11" i="1"/>
  <c r="L11" i="1" s="1"/>
  <c r="J34" i="1"/>
  <c r="L34" i="1" s="1"/>
  <c r="J10" i="1"/>
  <c r="L10" i="1" s="1"/>
  <c r="K23" i="1"/>
  <c r="L23" i="1" s="1"/>
  <c r="J33" i="1"/>
  <c r="L33" i="1" s="1"/>
  <c r="J9" i="1"/>
  <c r="L9" i="1" s="1"/>
  <c r="K22" i="1"/>
  <c r="L22" i="1" s="1"/>
  <c r="K21" i="1"/>
  <c r="L21" i="1" s="1"/>
  <c r="K44" i="1"/>
  <c r="L44" i="1" s="1"/>
  <c r="K32" i="1"/>
  <c r="L32" i="1" s="1"/>
  <c r="K20" i="1"/>
  <c r="L20" i="1" s="1"/>
  <c r="K8" i="1"/>
  <c r="L8" i="1" s="1"/>
  <c r="K43" i="1"/>
  <c r="L43" i="1" s="1"/>
  <c r="K31" i="1"/>
  <c r="L31" i="1" s="1"/>
  <c r="K19" i="1"/>
  <c r="L19" i="1" s="1"/>
  <c r="K7" i="1"/>
  <c r="L7" i="1" s="1"/>
  <c r="K42" i="1"/>
  <c r="L42" i="1" s="1"/>
  <c r="K30" i="1"/>
  <c r="L30" i="1" s="1"/>
  <c r="K18" i="1"/>
  <c r="L18" i="1" s="1"/>
  <c r="K6" i="1"/>
  <c r="L6" i="1" s="1"/>
  <c r="K41" i="1"/>
  <c r="L41" i="1" s="1"/>
  <c r="K29" i="1"/>
  <c r="L29" i="1" s="1"/>
  <c r="K17" i="1"/>
  <c r="L17" i="1" s="1"/>
  <c r="K5" i="1"/>
  <c r="L5" i="1" s="1"/>
  <c r="K40" i="1"/>
  <c r="L40" i="1" s="1"/>
  <c r="K28" i="1"/>
  <c r="L28" i="1" s="1"/>
  <c r="K16" i="1"/>
  <c r="L16" i="1" s="1"/>
  <c r="K4" i="1"/>
  <c r="L4" i="1" s="1"/>
  <c r="J39" i="1"/>
  <c r="L39" i="1" s="1"/>
  <c r="J15" i="1"/>
  <c r="K38" i="1"/>
  <c r="L38" i="1" s="1"/>
  <c r="K26" i="1"/>
  <c r="L26" i="1" s="1"/>
  <c r="K14" i="1"/>
  <c r="L14" i="1" s="1"/>
  <c r="K2" i="1"/>
  <c r="L2" i="1" l="1"/>
</calcChain>
</file>

<file path=xl/sharedStrings.xml><?xml version="1.0" encoding="utf-8"?>
<sst xmlns="http://schemas.openxmlformats.org/spreadsheetml/2006/main" count="180" uniqueCount="45">
  <si>
    <t>Region</t>
  </si>
  <si>
    <t>Rep</t>
  </si>
  <si>
    <t>Item</t>
  </si>
  <si>
    <t>Units</t>
  </si>
  <si>
    <t>Total</t>
  </si>
  <si>
    <t>Gill</t>
  </si>
  <si>
    <t>Jardine</t>
  </si>
  <si>
    <t>Jones</t>
  </si>
  <si>
    <t>Kivell</t>
  </si>
  <si>
    <t>Thompson</t>
  </si>
  <si>
    <t>Smith</t>
  </si>
  <si>
    <t>Howard</t>
  </si>
  <si>
    <t>Morgan</t>
  </si>
  <si>
    <t>Sorvino</t>
  </si>
  <si>
    <t>Unit Cost</t>
  </si>
  <si>
    <t>Pencil</t>
  </si>
  <si>
    <t>Binder</t>
  </si>
  <si>
    <t>Pen</t>
  </si>
  <si>
    <t>Andrews</t>
  </si>
  <si>
    <t>Parent</t>
  </si>
  <si>
    <t>Desk</t>
  </si>
  <si>
    <t>Pen Set</t>
  </si>
  <si>
    <t>OrderDate</t>
  </si>
  <si>
    <t>Central</t>
  </si>
  <si>
    <t>West</t>
  </si>
  <si>
    <t>East</t>
  </si>
  <si>
    <t>Order_Year</t>
  </si>
  <si>
    <t>Order_Month</t>
  </si>
  <si>
    <t>Sales</t>
  </si>
  <si>
    <t>Profit</t>
  </si>
  <si>
    <t>SellingPrice</t>
  </si>
  <si>
    <t>ProfitPercentage</t>
  </si>
  <si>
    <t>Row Labels</t>
  </si>
  <si>
    <t>2024</t>
  </si>
  <si>
    <t>Grand Total</t>
  </si>
  <si>
    <t>Sum of Sales</t>
  </si>
  <si>
    <t>Sum of Profit</t>
  </si>
  <si>
    <t>January</t>
  </si>
  <si>
    <t>Total Sales</t>
  </si>
  <si>
    <t>Total profit</t>
  </si>
  <si>
    <t>Profit Percentage</t>
  </si>
  <si>
    <t>Average Selling Price</t>
  </si>
  <si>
    <t>Units Sold</t>
  </si>
  <si>
    <t>This dashboard is linked to underlying data and updates automatically based on selections.</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</si>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</sst>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_(* #,##0.00_);_(* \(#,##0.00\);_(* &quot;-&quot;??_);_(@_)"/>
    <numFmt numFmtId="165" formatCode="0.00_);\(0.00\)"/>
    <numFmt numFmtId="166" formatCode="&quot;₹&quot;\ #,##0.00"/>
    <numFmt numFmtId="167" formatCode="0.0%"/>
  </numFmts>
  <fonts count="13" x14ac:knownFonts="1">
    <font>
      <sz val="14"/>
      <name val="Calibri"/>
      <family val="2"/>
      <scheme val="minor"/>
    </font>
    <font>
      <sz val="12"/>
      <name val="Arial Narrow"/>
      <family val="2"/>
    </font>
    <font>
      <sz val="11"/>
      <name val="Calibri"/>
      <family val="2"/>
      <scheme val="minor"/>
    </font>
    <font>
      <b/>
      <sz val="15"/>
      <color theme="3"/>
      <name val="Calibri"/>
      <family val="2"/>
      <scheme val="minor"/>
    </font>
    <font>
      <u/>
      <sz val="14"/>
      <color rgb="FF0000FF"/>
      <name val="Calibri"/>
      <family val="2"/>
      <scheme val="minor"/>
    </font>
    <font>
      <b/>
      <sz val="16"/>
      <color rgb="FF5A8B39"/>
      <name val="Calibri"/>
      <family val="2"/>
      <scheme val="minor"/>
    </font>
    <font>
      <u/>
      <sz val="14"/>
      <color rgb="FF974D6E"/>
      <name val="Calibri"/>
      <family val="2"/>
    </font>
    <font>
      <sz val="14"/>
      <name val="Calibri"/>
      <family val="2"/>
      <scheme val="minor"/>
    </font>
    <font>
      <b/>
      <sz val="18"/>
      <name val="Calibri"/>
      <family val="2"/>
      <scheme val="minor"/>
    </font>
    <font>
      <b/>
      <sz val="15"/>
      <color theme="2" tint="-0.89999084444715716"/>
      <name val="Calibri"/>
      <family val="2"/>
      <scheme val="minor"/>
    </font>
    <font>
      <b/>
      <sz val="14"/>
      <color theme="2" tint="-0.89999084444715716"/>
      <name val="Calibri"/>
      <family val="2"/>
      <scheme val="minor"/>
    </font>
    <font>
      <b/>
      <sz val="20"/>
      <name val="Calibri"/>
      <family val="2"/>
      <scheme val="minor"/>
    </font>
    <font>
      <b/>
      <sz val="15"/>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4">
    <border>
      <left/>
      <right/>
      <top/>
      <bottom/>
      <diagonal/>
    </border>
    <border>
      <left/>
      <right/>
      <top/>
      <bottom style="thick">
        <color theme="4"/>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s>
  <cellStyleXfs count="8">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6" fillId="0" borderId="0" applyNumberFormat="0" applyFill="0" applyBorder="0" applyAlignment="0" applyProtection="0"/>
    <xf numFmtId="0" fontId="3" fillId="0" borderId="1" applyNumberFormat="0" applyFill="0" applyBorder="0" applyAlignment="0" applyProtection="0"/>
    <xf numFmtId="0" fontId="5" fillId="0" borderId="0" applyNumberFormat="0" applyFill="0" applyAlignment="0" applyProtection="0"/>
    <xf numFmtId="44" fontId="7" fillId="0" borderId="0" applyFont="0" applyFill="0" applyBorder="0" applyAlignment="0" applyProtection="0"/>
    <xf numFmtId="9" fontId="7" fillId="0" borderId="0" applyFont="0" applyFill="0" applyBorder="0" applyAlignment="0" applyProtection="0"/>
  </cellStyleXfs>
  <cellXfs count="28">
    <xf numFmtId="0" fontId="0" fillId="0" borderId="0" xfId="0"/>
    <xf numFmtId="0" fontId="2" fillId="0" borderId="0" xfId="0" applyFont="1" applyAlignment="1">
      <alignment vertical="center"/>
    </xf>
    <xf numFmtId="0" fontId="2" fillId="0" borderId="0" xfId="0" applyFont="1" applyAlignment="1" applyProtection="1">
      <alignment vertical="center"/>
      <protection locked="0"/>
    </xf>
    <xf numFmtId="0" fontId="0" fillId="0" borderId="0" xfId="0" applyAlignment="1">
      <alignment horizontal="center" vertical="center"/>
    </xf>
    <xf numFmtId="1" fontId="0" fillId="0" borderId="0" xfId="0" applyNumberFormat="1" applyAlignment="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lignment vertical="center"/>
    </xf>
    <xf numFmtId="0" fontId="0" fillId="0" borderId="0" xfId="0" applyAlignment="1" applyProtection="1">
      <alignment vertical="center"/>
      <protection locked="0"/>
    </xf>
    <xf numFmtId="0" fontId="0" fillId="0" borderId="0" xfId="0" applyAlignment="1">
      <alignment horizontal="left"/>
    </xf>
    <xf numFmtId="165" fontId="0" fillId="0" borderId="0" xfId="1" applyNumberFormat="1" applyFont="1" applyFill="1" applyBorder="1" applyAlignment="1" applyProtection="1">
      <alignment vertical="center"/>
    </xf>
    <xf numFmtId="14" fontId="0" fillId="0" borderId="0" xfId="0" applyNumberFormat="1" applyAlignment="1">
      <alignment vertical="center"/>
    </xf>
    <xf numFmtId="0" fontId="0" fillId="0" borderId="0" xfId="0" pivotButton="1"/>
    <xf numFmtId="165" fontId="0" fillId="0" borderId="0" xfId="0" applyNumberFormat="1"/>
    <xf numFmtId="166" fontId="0" fillId="0" borderId="0" xfId="0" applyNumberFormat="1"/>
    <xf numFmtId="0" fontId="0" fillId="2" borderId="0" xfId="0" applyFill="1"/>
    <xf numFmtId="0" fontId="8" fillId="2" borderId="0" xfId="0" applyFont="1" applyFill="1" applyAlignment="1">
      <alignment vertical="center"/>
    </xf>
    <xf numFmtId="0" fontId="0" fillId="2" borderId="0" xfId="0" applyFill="1" applyAlignment="1">
      <alignment horizontal="center" vertical="center"/>
    </xf>
    <xf numFmtId="165" fontId="9" fillId="3" borderId="2" xfId="0" applyNumberFormat="1" applyFont="1" applyFill="1" applyBorder="1" applyAlignment="1">
      <alignment horizontal="center" vertical="center"/>
    </xf>
    <xf numFmtId="44" fontId="10" fillId="3" borderId="3" xfId="6" applyFont="1" applyFill="1" applyBorder="1" applyAlignment="1">
      <alignment horizontal="center" vertical="center"/>
    </xf>
    <xf numFmtId="0" fontId="9" fillId="3" borderId="2" xfId="0" applyFont="1" applyFill="1" applyBorder="1" applyAlignment="1">
      <alignment horizontal="center" vertical="center"/>
    </xf>
    <xf numFmtId="167" fontId="10" fillId="3" borderId="3" xfId="7" applyNumberFormat="1" applyFont="1" applyFill="1" applyBorder="1" applyAlignment="1">
      <alignment horizontal="center" vertical="center"/>
    </xf>
    <xf numFmtId="0" fontId="10" fillId="3" borderId="3" xfId="0" applyFont="1" applyFill="1" applyBorder="1" applyAlignment="1">
      <alignment horizontal="center" vertical="center"/>
    </xf>
    <xf numFmtId="166" fontId="9" fillId="3" borderId="2" xfId="0" applyNumberFormat="1" applyFont="1" applyFill="1" applyBorder="1" applyAlignment="1">
      <alignment horizontal="center" vertical="center"/>
    </xf>
    <xf numFmtId="166" fontId="10" fillId="3" borderId="3" xfId="6" applyNumberFormat="1" applyFont="1" applyFill="1" applyBorder="1" applyAlignment="1">
      <alignment horizontal="center"/>
    </xf>
    <xf numFmtId="0" fontId="11" fillId="2" borderId="0" xfId="0" applyFont="1" applyFill="1" applyAlignment="1">
      <alignment horizontal="center" vertical="center"/>
    </xf>
    <xf numFmtId="0" fontId="12" fillId="2" borderId="0" xfId="0" applyFont="1" applyFill="1" applyAlignment="1">
      <alignment horizontal="center" vertical="center"/>
    </xf>
    <xf numFmtId="0" fontId="11" fillId="2" borderId="0" xfId="0" applyFont="1" applyFill="1" applyAlignment="1">
      <alignment vertical="center"/>
    </xf>
  </cellXfs>
  <cellStyles count="8">
    <cellStyle name="Comma" xfId="1" builtinId="3"/>
    <cellStyle name="Currency" xfId="6" builtinId="4"/>
    <cellStyle name="Followed Hyperlink" xfId="3" builtinId="9" customBuiltin="1"/>
    <cellStyle name="Heading 1" xfId="4" builtinId="16" customBuiltin="1"/>
    <cellStyle name="Heading 2" xfId="5" builtinId="17" customBuiltin="1"/>
    <cellStyle name="Hyperlink" xfId="2" builtinId="8" customBuiltin="1"/>
    <cellStyle name="Normal" xfId="0" builtinId="0" customBuiltin="1"/>
    <cellStyle name="Percent" xfId="7" builtinId="5"/>
  </cellStyles>
  <dxfs count="9">
    <dxf>
      <numFmt numFmtId="165" formatCode="0.00_);\(0.0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4"/>
        <color auto="1"/>
        <name val="Calibri"/>
        <family val="2"/>
        <scheme val="minor"/>
      </font>
      <numFmt numFmtId="165" formatCode="0.00_);\(0.00\)"/>
      <fill>
        <patternFill patternType="none">
          <fgColor indexed="64"/>
          <bgColor indexed="65"/>
        </patternFill>
      </fill>
      <alignment horizontal="general" vertical="center" textRotation="0" wrapText="0" indent="0" justifyLastLine="0" shrinkToFit="0" readingOrder="0"/>
      <protection locked="1" hidden="0"/>
    </dxf>
    <dxf>
      <numFmt numFmtId="165" formatCode="0.00_);\(0.00\)"/>
      <alignment horizontal="general" vertical="center" textRotation="0" wrapText="0" indent="0" justifyLastLine="0" shrinkToFit="0" readingOrder="0"/>
    </dxf>
    <dxf>
      <numFmt numFmtId="168" formatCode="m/d/yyyy"/>
    </dxf>
  </dxfs>
  <tableStyles count="0" defaultTableStyle="TableStyleMedium9" defaultPivotStyle="PivotStyleLight16"/>
  <colors>
    <mruColors>
      <color rgb="FF4141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[SampleData.xlsx]Yearly Sales Summary!PivotTable1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Year-wise Sales &amp; Profit Performance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 Summary'!$B$3</c:f>
              <c:strCache>
                <c:ptCount val="1"/>
                <c:pt idx="0">
                  <c:v>Sum of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'Yearly Sales Summary'!$A$4:$A$5</c:f>
              <c:strCache>
                <c:ptCount val="1"/>
                <c:pt idx="0">
                  <c:v>2024</c:v>
                </c:pt>
              </c:strCache>
            </c:strRef>
          </c:cat>
          <c:val>
            <c:numRef>
              <c:f>'Yearly Sales Summary'!$B$4:$B$5</c:f>
              <c:numCache>
                <c:formatCode>"₹"\ #,##0.00</c:formatCode>
                <c:ptCount val="1"/>
                <c:pt idx="0">
                  <c:v>701.649</c:v>
                </c:pt>
              </c:numCache>
            </c:numRef>
          </c:val>
          <c:extLst>
            <c:ext xmlns:c16="http://schemas.microsoft.com/office/drawing/2014/chart" uri="{C3380CC4-5D6E-409C-BE32-E72D297353CC}">
              <c16:uniqueId val="{00000000-4DF7-4636-B51E-7C68427F3AA7}"/>
            </c:ext>
          </c:extLst>
        </c:ser>
        <c:ser>
          <c:idx val="1"/>
          <c:order val="1"/>
          <c:tx>
            <c:strRef>
              <c:f>'Yearly Sales Summary'!$C$3</c:f>
              <c:strCache>
                <c:ptCount val="1"/>
                <c:pt idx="0">
                  <c:v>Sum of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'Yearly Sales Summary'!$A$4:$A$5</c:f>
              <c:strCache>
                <c:ptCount val="1"/>
                <c:pt idx="0">
                  <c:v>2024</c:v>
                </c:pt>
              </c:strCache>
            </c:strRef>
          </c:cat>
          <c:val>
            <c:numRef>
              <c:f>'Yearly Sales Summary'!$C$4:$C$5</c:f>
              <c:numCache>
                <c:formatCode>"₹"\ #,##0.00</c:formatCode>
                <c:ptCount val="1"/>
                <c:pt idx="0">
                  <c:v>161.91899999999998</c:v>
                </c:pt>
              </c:numCache>
            </c:numRef>
          </c:val>
          <c:extLst>
            <c:ext xmlns:c16="http://schemas.microsoft.com/office/drawing/2014/chart" uri="{C3380CC4-5D6E-409C-BE32-E72D297353CC}">
              <c16:uniqueId val="{00000001-4DF7-4636-B51E-7C68427F3AA7}"/>
            </c:ext>
          </c:extLst>
        </c:ser>
        <c:dLbls>
          <c:showLegendKey val="0"/>
          <c:showVal val="0"/>
          <c:showCatName val="0"/>
          <c:showSerName val="0"/>
          <c:showPercent val="0"/>
          <c:showBubbleSize val="0"/>
        </c:dLbls>
        <c:gapWidth val="164"/>
        <c:overlap val="-22"/>
        <c:axId val="487003904"/>
        <c:axId val="486997664"/>
      </c:barChart>
      <c:catAx>
        <c:axId val="4870039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7664"/>
        <c:crosses val="autoZero"/>
        <c:auto val="1"/>
        <c:lblAlgn val="ctr"/>
        <c:lblOffset val="100"/>
        <c:noMultiLvlLbl val="0"/>
      </c:catAx>
      <c:valAx>
        <c:axId val="48699766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[SampleData.xlsx]Sales by Region chart!PivotTable2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chart'!$B$3</c:f>
              <c:strCache>
                <c:ptCount val="1"/>
                <c:pt idx="0">
                  <c:v>Sum of Sales</c:v>
                </c:pt>
              </c:strCache>
            </c:strRef>
          </c:tx>
          <c:spPr>
            <a:solidFill>
              <a:schemeClr val="accent1"/>
            </a:solidFill>
            <a:ln>
              <a:noFill/>
            </a:ln>
            <a:effectLst/>
          </c:spPr>
          <c:invertIfNegative val="0"/>
          <c:cat>
            <c:strRef>
              <c:f>'Sales by Region chart'!$A$4:$A$7</c:f>
              <c:strCache>
                <c:ptCount val="3"/>
                <c:pt idx="0">
                  <c:v>Central</c:v>
                </c:pt>
                <c:pt idx="1">
                  <c:v>East</c:v>
                </c:pt>
                <c:pt idx="2">
                  <c:v>West</c:v>
                </c:pt>
              </c:strCache>
            </c:strRef>
          </c:cat>
          <c:val>
            <c:numRef>
              <c:f>'Sales by Region chart'!$B$4:$B$7</c:f>
              <c:numCache>
                <c:formatCode>"₹"\ #,##0.00</c:formatCode>
                <c:ptCount val="3"/>
                <c:pt idx="0">
                  <c:v>14480.791000000001</c:v>
                </c:pt>
                <c:pt idx="1">
                  <c:v>7802.7170000000015</c:v>
                </c:pt>
                <c:pt idx="2">
                  <c:v>3232.7359999999999</c:v>
                </c:pt>
              </c:numCache>
            </c:numRef>
          </c:val>
          <c:extLst>
            <c:ext xmlns:c16="http://schemas.microsoft.com/office/drawing/2014/chart" uri="{C3380CC4-5D6E-409C-BE32-E72D297353CC}">
              <c16:uniqueId val="{00000000-3482-4262-948D-51CA43637E19}"/>
            </c:ext>
          </c:extLst>
        </c:ser>
        <c:ser>
          <c:idx val="1"/>
          <c:order val="1"/>
          <c:tx>
            <c:strRef>
              <c:f>'Sales by Region chart'!$C$3</c:f>
              <c:strCache>
                <c:ptCount val="1"/>
                <c:pt idx="0">
                  <c:v>Sum of Profit</c:v>
                </c:pt>
              </c:strCache>
            </c:strRef>
          </c:tx>
          <c:spPr>
            <a:solidFill>
              <a:schemeClr val="accent2"/>
            </a:solidFill>
            <a:ln>
              <a:noFill/>
            </a:ln>
            <a:effectLst/>
          </c:spPr>
          <c:invertIfNegative val="0"/>
          <c:cat>
            <c:strRef>
              <c:f>'Sales by Region chart'!$A$4:$A$7</c:f>
              <c:strCache>
                <c:ptCount val="3"/>
                <c:pt idx="0">
                  <c:v>Central</c:v>
                </c:pt>
                <c:pt idx="1">
                  <c:v>East</c:v>
                </c:pt>
                <c:pt idx="2">
                  <c:v>West</c:v>
                </c:pt>
              </c:strCache>
            </c:strRef>
          </c:cat>
          <c:val>
            <c:numRef>
              <c:f>'Sales by Region chart'!$C$4:$C$7</c:f>
              <c:numCache>
                <c:formatCode>"₹"\ #,##0.00</c:formatCode>
                <c:ptCount val="3"/>
                <c:pt idx="0">
                  <c:v>3341.721</c:v>
                </c:pt>
                <c:pt idx="1">
                  <c:v>1800.6270000000004</c:v>
                </c:pt>
                <c:pt idx="2">
                  <c:v>746.01600000000008</c:v>
                </c:pt>
              </c:numCache>
            </c:numRef>
          </c:val>
          <c:extLst>
            <c:ext xmlns:c16="http://schemas.microsoft.com/office/drawing/2014/chart" uri="{C3380CC4-5D6E-409C-BE32-E72D297353CC}">
              <c16:uniqueId val="{00000001-3482-4262-948D-51CA43637E19}"/>
            </c:ext>
          </c:extLst>
        </c:ser>
        <c:dLbls>
          <c:showLegendKey val="0"/>
          <c:showVal val="0"/>
          <c:showCatName val="0"/>
          <c:showSerName val="0"/>
          <c:showPercent val="0"/>
          <c:showBubbleSize val="0"/>
        </c:dLbls>
        <c:gapWidth val="219"/>
        <c:overlap val="-27"/>
        <c:axId val="1366550880"/>
        <c:axId val="1366492800"/>
      </c:barChart>
      <c:catAx>
        <c:axId val="13665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92800"/>
        <c:crosses val="autoZero"/>
        <c:auto val="1"/>
        <c:lblAlgn val="ctr"/>
        <c:lblOffset val="100"/>
        <c:noMultiLvlLbl val="0"/>
      </c:catAx>
      <c:valAx>
        <c:axId val="136649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[SampleData.xlsx]Monthly Sales Trend chart!PivotTable3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chart'!$B$3</c:f>
              <c:strCache>
                <c:ptCount val="1"/>
                <c:pt idx="0">
                  <c:v>Total</c:v>
                </c:pt>
              </c:strCache>
            </c:strRef>
          </c:tx>
          <c:spPr>
            <a:ln w="28575" cap="rnd">
              <a:solidFill>
                <a:schemeClr val="accent1"/>
              </a:solidFill>
              <a:round/>
            </a:ln>
            <a:effectLst/>
          </c:spPr>
          <c:marker>
            <c:symbol val="none"/>
          </c:marker>
          <c:cat>
            <c:strRef>
              <c:f>'Monthly Sales Trend chart'!$A$4:$A$5</c:f>
              <c:strCache>
                <c:ptCount val="1"/>
                <c:pt idx="0">
                  <c:v>January</c:v>
                </c:pt>
              </c:strCache>
            </c:strRef>
          </c:cat>
          <c:val>
            <c:numRef>
              <c:f>'Monthly Sales Trend chart'!$B$4:$B$5</c:f>
              <c:numCache>
                <c:formatCode>0.00_);\(0.00\)</c:formatCode>
                <c:ptCount val="1"/>
                <c:pt idx="0">
                  <c:v>1836.952</c:v>
                </c:pt>
              </c:numCache>
            </c:numRef>
          </c:val>
          <c:smooth val="0"/>
          <c:extLst>
            <c:ext xmlns:c16="http://schemas.microsoft.com/office/drawing/2014/chart" uri="{C3380CC4-5D6E-409C-BE32-E72D297353CC}">
              <c16:uniqueId val="{00000000-CC24-4BB4-87EF-FB93519C1ECA}"/>
            </c:ext>
          </c:extLst>
        </c:ser>
        <c:dLbls>
          <c:showLegendKey val="0"/>
          <c:showVal val="0"/>
          <c:showCatName val="0"/>
          <c:showSerName val="0"/>
          <c:showPercent val="0"/>
          <c:showBubbleSize val="0"/>
        </c:dLbls>
        <c:smooth val="0"/>
        <c:axId val="1366546080"/>
        <c:axId val="1366539360"/>
      </c:lineChart>
      <c:catAx>
        <c:axId val="13665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39360"/>
        <c:crosses val="autoZero"/>
        <c:auto val="1"/>
        <c:lblAlgn val="ctr"/>
        <c:lblOffset val="100"/>
        <c:noMultiLvlLbl val="0"/>
      </c:catAx>
      <c:valAx>
        <c:axId val="1366539360"/>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4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[SampleData.xlsx]Sales by Rep!PivotTable4</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Rep</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Rep'!$B$3</c:f>
              <c:strCache>
                <c:ptCount val="1"/>
                <c:pt idx="0">
                  <c:v>Sum of Sales</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'Sales by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'Sales by Rep'!$B$4:$B$15</c:f>
              <c:numCache>
                <c:formatCode>0.00_);\(0.00\)</c:formatCode>
                <c:ptCount val="11"/>
                <c:pt idx="0">
                  <c:v>569.88100000000009</c:v>
                </c:pt>
                <c:pt idx="1">
                  <c:v>2274.8310000000006</c:v>
                </c:pt>
                <c:pt idx="2">
                  <c:v>697.77499999999998</c:v>
                </c:pt>
                <c:pt idx="3">
                  <c:v>3655.8469999999998</c:v>
                </c:pt>
                <c:pt idx="4">
                  <c:v>3071.9520000000002</c:v>
                </c:pt>
                <c:pt idx="5">
                  <c:v>4042.2719999999999</c:v>
                </c:pt>
                <c:pt idx="6">
                  <c:v>1804.1010000000001</c:v>
                </c:pt>
                <c:pt idx="7">
                  <c:v>4032.99</c:v>
                </c:pt>
                <c:pt idx="8">
                  <c:v>2133.8589999999999</c:v>
                </c:pt>
                <c:pt idx="9">
                  <c:v>1668.6930000000002</c:v>
                </c:pt>
                <c:pt idx="10">
                  <c:v>1564.0430000000001</c:v>
                </c:pt>
              </c:numCache>
            </c:numRef>
          </c:val>
          <c:extLst>
            <c:ext xmlns:c16="http://schemas.microsoft.com/office/drawing/2014/chart" uri="{C3380CC4-5D6E-409C-BE32-E72D297353CC}">
              <c16:uniqueId val="{00000000-0C7B-4A7E-AE4A-D0036BA487F9}"/>
            </c:ext>
          </c:extLst>
        </c:ser>
        <c:ser>
          <c:idx val="1"/>
          <c:order val="1"/>
          <c:tx>
            <c:strRef>
              <c:f>'Sales by Rep'!$C$3</c:f>
              <c:strCache>
                <c:ptCount val="1"/>
                <c:pt idx="0">
                  <c:v>Sum of Profit</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'Sales by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'Sales by Rep'!$C$4:$C$15</c:f>
              <c:numCache>
                <c:formatCode>0.00_);\(0.00\)</c:formatCode>
                <c:ptCount val="11"/>
                <c:pt idx="0">
                  <c:v>131.51100000000002</c:v>
                </c:pt>
                <c:pt idx="1">
                  <c:v>524.96100000000001</c:v>
                </c:pt>
                <c:pt idx="2">
                  <c:v>161.02500000000001</c:v>
                </c:pt>
                <c:pt idx="3">
                  <c:v>843.65699999999993</c:v>
                </c:pt>
                <c:pt idx="4">
                  <c:v>708.91200000000015</c:v>
                </c:pt>
                <c:pt idx="5">
                  <c:v>932.83200000000011</c:v>
                </c:pt>
                <c:pt idx="6">
                  <c:v>416.33100000000013</c:v>
                </c:pt>
                <c:pt idx="7">
                  <c:v>930.69000000000017</c:v>
                </c:pt>
                <c:pt idx="8">
                  <c:v>492.42899999999997</c:v>
                </c:pt>
                <c:pt idx="9">
                  <c:v>385.08300000000003</c:v>
                </c:pt>
                <c:pt idx="10">
                  <c:v>360.93299999999999</c:v>
                </c:pt>
              </c:numCache>
            </c:numRef>
          </c:val>
          <c:extLst>
            <c:ext xmlns:c16="http://schemas.microsoft.com/office/drawing/2014/chart" uri="{C3380CC4-5D6E-409C-BE32-E72D297353CC}">
              <c16:uniqueId val="{00000001-0C7B-4A7E-AE4A-D0036BA487F9}"/>
            </c:ext>
          </c:extLst>
        </c:ser>
        <c:dLbls>
          <c:showLegendKey val="0"/>
          <c:showVal val="0"/>
          <c:showCatName val="0"/>
          <c:showSerName val="0"/>
          <c:showPercent val="0"/>
          <c:showBubbleSize val="0"/>
        </c:dLbls>
        <c:gapWidth val="227"/>
        <c:overlap val="-48"/>
        <c:axId val="1366524960"/>
        <c:axId val="1366525440"/>
      </c:barChart>
      <c:catAx>
        <c:axId val="136652496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25440"/>
        <c:crosses val="autoZero"/>
        <c:auto val="1"/>
        <c:lblAlgn val="ctr"/>
        <c:lblOffset val="100"/>
        <c:noMultiLvlLbl val="0"/>
      </c:catAx>
      <c:valAx>
        <c:axId val="1366525440"/>
        <c:scaling>
          <c:orientation val="minMax"/>
        </c:scaling>
        <c:delete val="0"/>
        <c:axPos val="b"/>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2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[SampleData.xlsx]Monthly Sales Trend chart!PivotTable3</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Monthly Sales Trend Chart</a:t>
            </a:r>
          </a:p>
        </c:rich>
      </c:tx>
      <c:layout>
        <c:manualLayout>
          <c:xMode val="edge"/>
          <c:yMode val="edge"/>
          <c:x val="0.25697784890671765"/>
          <c:y val="7.4616624567166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 chart'!$B$3</c:f>
              <c:strCache>
                <c:ptCount val="1"/>
                <c:pt idx="0">
                  <c:v>Total</c:v>
                </c:pt>
              </c:strCache>
            </c:strRef>
          </c:tx>
          <c:spPr>
            <a:solidFill>
              <a:schemeClr val="accent1"/>
            </a:solidFill>
            <a:ln>
              <a:noFill/>
            </a:ln>
            <a:effectLst/>
          </c:spPr>
          <c:invertIfNegative val="0"/>
          <c:cat>
            <c:strRef>
              <c:f>'Monthly Sales Trend chart'!$A$4:$A$5</c:f>
              <c:strCache>
                <c:ptCount val="1"/>
                <c:pt idx="0">
                  <c:v>January</c:v>
                </c:pt>
              </c:strCache>
            </c:strRef>
          </c:cat>
          <c:val>
            <c:numRef>
              <c:f>'Monthly Sales Trend chart'!$B$4:$B$5</c:f>
              <c:numCache>
                <c:formatCode>0.00_);\(0.00\)</c:formatCode>
                <c:ptCount val="1"/>
                <c:pt idx="0">
                  <c:v>1836.952</c:v>
                </c:pt>
              </c:numCache>
            </c:numRef>
          </c:val>
          <c:extLst>
            <c:ext xmlns:c16="http://schemas.microsoft.com/office/drawing/2014/chart" uri="{C3380CC4-5D6E-409C-BE32-E72D297353CC}">
              <c16:uniqueId val="{00000002-237C-435D-854F-CDBA1D03039A}"/>
            </c:ext>
          </c:extLst>
        </c:ser>
        <c:dLbls>
          <c:showLegendKey val="0"/>
          <c:showVal val="0"/>
          <c:showCatName val="0"/>
          <c:showSerName val="0"/>
          <c:showPercent val="0"/>
          <c:showBubbleSize val="0"/>
        </c:dLbls>
        <c:gapWidth val="219"/>
        <c:overlap val="-27"/>
        <c:axId val="1366550880"/>
        <c:axId val="1366492800"/>
      </c:barChart>
      <c:catAx>
        <c:axId val="13665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92800"/>
        <c:crosses val="autoZero"/>
        <c:auto val="1"/>
        <c:lblAlgn val="ctr"/>
        <c:lblOffset val="100"/>
        <c:noMultiLvlLbl val="0"/>
      </c:catAx>
      <c:valAx>
        <c:axId val="1366492800"/>
        <c:scaling>
          <c:orientation val="minMax"/>
        </c:scaling>
        <c:delete val="0"/>
        <c:axPos val="l"/>
        <c:majorGridlines>
          <c:spPr>
            <a:ln w="9525" cap="flat" cmpd="sng" algn="ctr">
              <a:solidFill>
                <a:schemeClr val="tx1">
                  <a:lumMod val="15000"/>
                  <a:lumOff val="85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[SampleData.xlsx]Sales by Region chart!PivotTable2</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Sales By Region Chart</a:t>
            </a:r>
          </a:p>
        </c:rich>
      </c:tx>
      <c:layout>
        <c:manualLayout>
          <c:xMode val="edge"/>
          <c:yMode val="edge"/>
          <c:x val="0.27903854920005589"/>
          <c:y val="6.5469691974573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41228795816864"/>
          <c:y val="0.20830962661925326"/>
          <c:w val="0.61044160104986878"/>
          <c:h val="0.65853091280256637"/>
        </c:manualLayout>
      </c:layout>
      <c:barChart>
        <c:barDir val="col"/>
        <c:grouping val="clustered"/>
        <c:varyColors val="0"/>
        <c:ser>
          <c:idx val="0"/>
          <c:order val="0"/>
          <c:tx>
            <c:strRef>
              <c:f>'Sales by Region chart'!$B$3</c:f>
              <c:strCache>
                <c:ptCount val="1"/>
                <c:pt idx="0">
                  <c:v>Sum of Sales</c:v>
                </c:pt>
              </c:strCache>
            </c:strRef>
          </c:tx>
          <c:spPr>
            <a:solidFill>
              <a:schemeClr val="accent1"/>
            </a:solidFill>
            <a:ln>
              <a:noFill/>
            </a:ln>
            <a:effectLst/>
          </c:spPr>
          <c:invertIfNegative val="0"/>
          <c:cat>
            <c:strRef>
              <c:f>'Sales by Region chart'!$A$4:$A$7</c:f>
              <c:strCache>
                <c:ptCount val="3"/>
                <c:pt idx="0">
                  <c:v>Central</c:v>
                </c:pt>
                <c:pt idx="1">
                  <c:v>East</c:v>
                </c:pt>
                <c:pt idx="2">
                  <c:v>West</c:v>
                </c:pt>
              </c:strCache>
            </c:strRef>
          </c:cat>
          <c:val>
            <c:numRef>
              <c:f>'Sales by Region chart'!$B$4:$B$7</c:f>
              <c:numCache>
                <c:formatCode>"₹"\ #,##0.00</c:formatCode>
                <c:ptCount val="3"/>
                <c:pt idx="0">
                  <c:v>14480.791000000001</c:v>
                </c:pt>
                <c:pt idx="1">
                  <c:v>7802.7170000000015</c:v>
                </c:pt>
                <c:pt idx="2">
                  <c:v>3232.7359999999999</c:v>
                </c:pt>
              </c:numCache>
            </c:numRef>
          </c:val>
          <c:extLst>
            <c:ext xmlns:c16="http://schemas.microsoft.com/office/drawing/2014/chart" uri="{C3380CC4-5D6E-409C-BE32-E72D297353CC}">
              <c16:uniqueId val="{00000000-B6F8-4AE9-BB8D-5263C09245E3}"/>
            </c:ext>
          </c:extLst>
        </c:ser>
        <c:ser>
          <c:idx val="1"/>
          <c:order val="1"/>
          <c:tx>
            <c:strRef>
              <c:f>'Sales by Region chart'!$C$3</c:f>
              <c:strCache>
                <c:ptCount val="1"/>
                <c:pt idx="0">
                  <c:v>Sum of Profit</c:v>
                </c:pt>
              </c:strCache>
            </c:strRef>
          </c:tx>
          <c:spPr>
            <a:solidFill>
              <a:schemeClr val="accent2"/>
            </a:solidFill>
            <a:ln>
              <a:noFill/>
            </a:ln>
            <a:effectLst/>
          </c:spPr>
          <c:invertIfNegative val="0"/>
          <c:cat>
            <c:strRef>
              <c:f>'Sales by Region chart'!$A$4:$A$7</c:f>
              <c:strCache>
                <c:ptCount val="3"/>
                <c:pt idx="0">
                  <c:v>Central</c:v>
                </c:pt>
                <c:pt idx="1">
                  <c:v>East</c:v>
                </c:pt>
                <c:pt idx="2">
                  <c:v>West</c:v>
                </c:pt>
              </c:strCache>
            </c:strRef>
          </c:cat>
          <c:val>
            <c:numRef>
              <c:f>'Sales by Region chart'!$C$4:$C$7</c:f>
              <c:numCache>
                <c:formatCode>"₹"\ #,##0.00</c:formatCode>
                <c:ptCount val="3"/>
                <c:pt idx="0">
                  <c:v>3341.721</c:v>
                </c:pt>
                <c:pt idx="1">
                  <c:v>1800.6270000000004</c:v>
                </c:pt>
                <c:pt idx="2">
                  <c:v>746.01600000000008</c:v>
                </c:pt>
              </c:numCache>
            </c:numRef>
          </c:val>
          <c:extLst>
            <c:ext xmlns:c16="http://schemas.microsoft.com/office/drawing/2014/chart" uri="{C3380CC4-5D6E-409C-BE32-E72D297353CC}">
              <c16:uniqueId val="{00000001-B6F8-4AE9-BB8D-5263C09245E3}"/>
            </c:ext>
          </c:extLst>
        </c:ser>
        <c:dLbls>
          <c:showLegendKey val="0"/>
          <c:showVal val="0"/>
          <c:showCatName val="0"/>
          <c:showSerName val="0"/>
          <c:showPercent val="0"/>
          <c:showBubbleSize val="0"/>
        </c:dLbls>
        <c:gapWidth val="219"/>
        <c:overlap val="-27"/>
        <c:axId val="1366550880"/>
        <c:axId val="1366492800"/>
      </c:barChart>
      <c:catAx>
        <c:axId val="13665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492800"/>
        <c:crosses val="autoZero"/>
        <c:auto val="1"/>
        <c:lblAlgn val="ctr"/>
        <c:lblOffset val="100"/>
        <c:noMultiLvlLbl val="0"/>
      </c:catAx>
      <c:valAx>
        <c:axId val="136649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50880"/>
        <c:crosses val="autoZero"/>
        <c:crossBetween val="between"/>
      </c:valAx>
      <c:spPr>
        <a:noFill/>
        <a:ln>
          <a:noFill/>
        </a:ln>
        <a:effectLst/>
      </c:spPr>
    </c:plotArea>
    <c:legend>
      <c:legendPos val="r"/>
      <c:layout>
        <c:manualLayout>
          <c:xMode val="edge"/>
          <c:yMode val="edge"/>
          <c:x val="0.79292513046764102"/>
          <c:y val="0.49553678774024212"/>
          <c:w val="0.20707486953235904"/>
          <c:h val="0.181452882905765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[SampleData.xlsx]Yearly Sales Summary!PivotTable1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Year-wise Sales &amp; Profit Performance</a:t>
            </a:r>
          </a:p>
        </c:rich>
      </c:tx>
      <c:layout>
        <c:manualLayout>
          <c:xMode val="edge"/>
          <c:yMode val="edge"/>
          <c:x val="0.204612092407368"/>
          <c:y val="5.63372128988926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 Summary'!$B$3</c:f>
              <c:strCache>
                <c:ptCount val="1"/>
                <c:pt idx="0">
                  <c:v>Sum of Sales</c:v>
                </c:pt>
              </c:strCache>
            </c:strRef>
          </c:tx>
          <c:spPr>
            <a:solidFill>
              <a:schemeClr val="accent1"/>
            </a:solidFill>
            <a:ln>
              <a:noFill/>
            </a:ln>
            <a:effectLst/>
          </c:spPr>
          <c:invertIfNegative val="0"/>
          <c:cat>
            <c:strRef>
              <c:f>'Yearly Sales Summary'!$A$4:$A$5</c:f>
              <c:strCache>
                <c:ptCount val="1"/>
                <c:pt idx="0">
                  <c:v>2024</c:v>
                </c:pt>
              </c:strCache>
            </c:strRef>
          </c:cat>
          <c:val>
            <c:numRef>
              <c:f>'Yearly Sales Summary'!$B$4:$B$5</c:f>
              <c:numCache>
                <c:formatCode>"₹"\ #,##0.00</c:formatCode>
                <c:ptCount val="1"/>
                <c:pt idx="0">
                  <c:v>701.649</c:v>
                </c:pt>
              </c:numCache>
            </c:numRef>
          </c:val>
          <c:extLst>
            <c:ext xmlns:c16="http://schemas.microsoft.com/office/drawing/2014/chart" uri="{C3380CC4-5D6E-409C-BE32-E72D297353CC}">
              <c16:uniqueId val="{00000000-71BE-4252-8B87-5A9A7E7A40E2}"/>
            </c:ext>
          </c:extLst>
        </c:ser>
        <c:ser>
          <c:idx val="1"/>
          <c:order val="1"/>
          <c:tx>
            <c:strRef>
              <c:f>'Yearly Sales Summary'!$C$3</c:f>
              <c:strCache>
                <c:ptCount val="1"/>
                <c:pt idx="0">
                  <c:v>Sum of Profit</c:v>
                </c:pt>
              </c:strCache>
            </c:strRef>
          </c:tx>
          <c:spPr>
            <a:solidFill>
              <a:schemeClr val="accent2"/>
            </a:solidFill>
            <a:ln>
              <a:noFill/>
            </a:ln>
            <a:effectLst/>
          </c:spPr>
          <c:invertIfNegative val="0"/>
          <c:cat>
            <c:strRef>
              <c:f>'Yearly Sales Summary'!$A$4:$A$5</c:f>
              <c:strCache>
                <c:ptCount val="1"/>
                <c:pt idx="0">
                  <c:v>2024</c:v>
                </c:pt>
              </c:strCache>
            </c:strRef>
          </c:cat>
          <c:val>
            <c:numRef>
              <c:f>'Yearly Sales Summary'!$C$4:$C$5</c:f>
              <c:numCache>
                <c:formatCode>"₹"\ #,##0.00</c:formatCode>
                <c:ptCount val="1"/>
                <c:pt idx="0">
                  <c:v>161.91899999999998</c:v>
                </c:pt>
              </c:numCache>
            </c:numRef>
          </c:val>
          <c:extLst>
            <c:ext xmlns:c16="http://schemas.microsoft.com/office/drawing/2014/chart" uri="{C3380CC4-5D6E-409C-BE32-E72D297353CC}">
              <c16:uniqueId val="{00000001-71BE-4252-8B87-5A9A7E7A40E2}"/>
            </c:ext>
          </c:extLst>
        </c:ser>
        <c:dLbls>
          <c:showLegendKey val="0"/>
          <c:showVal val="0"/>
          <c:showCatName val="0"/>
          <c:showSerName val="0"/>
          <c:showPercent val="0"/>
          <c:showBubbleSize val="0"/>
        </c:dLbls>
        <c:gapWidth val="219"/>
        <c:overlap val="-27"/>
        <c:axId val="487003904"/>
        <c:axId val="486997664"/>
      </c:barChart>
      <c:catAx>
        <c:axId val="48700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997664"/>
        <c:crosses val="autoZero"/>
        <c:auto val="1"/>
        <c:lblAlgn val="ctr"/>
        <c:lblOffset val="100"/>
        <c:noMultiLvlLbl val="0"/>
      </c:catAx>
      <c:valAx>
        <c:axId val="486997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0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[SampleData.xlsx]Sales by Rep!PivotTable4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Sales By Rep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Rep'!$B$3</c:f>
              <c:strCache>
                <c:ptCount val="1"/>
                <c:pt idx="0">
                  <c:v>Sum of Sales</c:v>
                </c:pt>
              </c:strCache>
            </c:strRef>
          </c:tx>
          <c:spPr>
            <a:solidFill>
              <a:schemeClr val="accent1"/>
            </a:solidFill>
            <a:ln>
              <a:noFill/>
            </a:ln>
            <a:effectLst/>
          </c:spPr>
          <c:invertIfNegative val="0"/>
          <c:cat>
            <c:strRef>
              <c:f>'Sales by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'Sales by Rep'!$B$4:$B$15</c:f>
              <c:numCache>
                <c:formatCode>0.00_);\(0.00\)</c:formatCode>
                <c:ptCount val="11"/>
                <c:pt idx="0">
                  <c:v>569.88100000000009</c:v>
                </c:pt>
                <c:pt idx="1">
                  <c:v>2274.8310000000006</c:v>
                </c:pt>
                <c:pt idx="2">
                  <c:v>697.77499999999998</c:v>
                </c:pt>
                <c:pt idx="3">
                  <c:v>3655.8469999999998</c:v>
                </c:pt>
                <c:pt idx="4">
                  <c:v>3071.9520000000002</c:v>
                </c:pt>
                <c:pt idx="5">
                  <c:v>4042.2719999999999</c:v>
                </c:pt>
                <c:pt idx="6">
                  <c:v>1804.1010000000001</c:v>
                </c:pt>
                <c:pt idx="7">
                  <c:v>4032.99</c:v>
                </c:pt>
                <c:pt idx="8">
                  <c:v>2133.8589999999999</c:v>
                </c:pt>
                <c:pt idx="9">
                  <c:v>1668.6930000000002</c:v>
                </c:pt>
                <c:pt idx="10">
                  <c:v>1564.0430000000001</c:v>
                </c:pt>
              </c:numCache>
            </c:numRef>
          </c:val>
          <c:extLst>
            <c:ext xmlns:c16="http://schemas.microsoft.com/office/drawing/2014/chart" uri="{C3380CC4-5D6E-409C-BE32-E72D297353CC}">
              <c16:uniqueId val="{00000000-2F14-47ED-AC72-77173BCF51B2}"/>
            </c:ext>
          </c:extLst>
        </c:ser>
        <c:ser>
          <c:idx val="1"/>
          <c:order val="1"/>
          <c:tx>
            <c:strRef>
              <c:f>'Sales by Rep'!$C$3</c:f>
              <c:strCache>
                <c:ptCount val="1"/>
                <c:pt idx="0">
                  <c:v>Sum of Profit</c:v>
                </c:pt>
              </c:strCache>
            </c:strRef>
          </c:tx>
          <c:spPr>
            <a:solidFill>
              <a:schemeClr val="accent2"/>
            </a:solidFill>
            <a:ln>
              <a:noFill/>
            </a:ln>
            <a:effectLst/>
          </c:spPr>
          <c:invertIfNegative val="0"/>
          <c:cat>
            <c:strRef>
              <c:f>'Sales by Rep'!$A$4:$A$15</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'Sales by Rep'!$C$4:$C$15</c:f>
              <c:numCache>
                <c:formatCode>0.00_);\(0.00\)</c:formatCode>
                <c:ptCount val="11"/>
                <c:pt idx="0">
                  <c:v>131.51100000000002</c:v>
                </c:pt>
                <c:pt idx="1">
                  <c:v>524.96100000000001</c:v>
                </c:pt>
                <c:pt idx="2">
                  <c:v>161.02500000000001</c:v>
                </c:pt>
                <c:pt idx="3">
                  <c:v>843.65699999999993</c:v>
                </c:pt>
                <c:pt idx="4">
                  <c:v>708.91200000000015</c:v>
                </c:pt>
                <c:pt idx="5">
                  <c:v>932.83200000000011</c:v>
                </c:pt>
                <c:pt idx="6">
                  <c:v>416.33100000000013</c:v>
                </c:pt>
                <c:pt idx="7">
                  <c:v>930.69000000000017</c:v>
                </c:pt>
                <c:pt idx="8">
                  <c:v>492.42899999999997</c:v>
                </c:pt>
                <c:pt idx="9">
                  <c:v>385.08300000000003</c:v>
                </c:pt>
                <c:pt idx="10">
                  <c:v>360.93299999999999</c:v>
                </c:pt>
              </c:numCache>
            </c:numRef>
          </c:val>
          <c:extLst>
            <c:ext xmlns:c16="http://schemas.microsoft.com/office/drawing/2014/chart" uri="{C3380CC4-5D6E-409C-BE32-E72D297353CC}">
              <c16:uniqueId val="{00000001-2F14-47ED-AC72-77173BCF51B2}"/>
            </c:ext>
          </c:extLst>
        </c:ser>
        <c:dLbls>
          <c:showLegendKey val="0"/>
          <c:showVal val="0"/>
          <c:showCatName val="0"/>
          <c:showSerName val="0"/>
          <c:showPercent val="0"/>
          <c:showBubbleSize val="0"/>
        </c:dLbls>
        <c:gapWidth val="182"/>
        <c:axId val="1366524960"/>
        <c:axId val="1366525440"/>
      </c:barChart>
      <c:catAx>
        <c:axId val="136652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25440"/>
        <c:crosses val="autoZero"/>
        <c:auto val="1"/>
        <c:lblAlgn val="ctr"/>
        <c:lblOffset val="100"/>
        <c:noMultiLvlLbl val="0"/>
      </c:catAx>
      <c:valAx>
        <c:axId val="1366525440"/>
        <c:scaling>
          <c:orientation val="minMax"/>
        </c:scaling>
        <c:delete val="0"/>
        <c:axPos val="b"/>
        <c:majorGridlines>
          <c:spPr>
            <a:ln w="9525" cap="flat" cmpd="sng" algn="ctr">
              <a:solidFill>
                <a:schemeClr val="tx1">
                  <a:lumMod val="15000"/>
                  <a:lumOff val="85000"/>
                </a:schemeClr>
              </a:solidFill>
              <a:round/>
            </a:ln>
            <a:effectLst/>
          </c:spPr>
        </c:majorGridlines>
        <c:numFmt formatCode="0.00_);\(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52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22860</xdr:colOff>
      <xdr:row>6</xdr:row>
      <xdr:rowOff>171450</xdr:rowOff>
    </xdr:from>
    <xdr:to>
      <xdr:col>8</xdr:col>
      <xdr:colOff>632460</xdr:colOff>
      <xdr:row>18</xdr:row>
      <xdr:rowOff>171450</xdr:rowOff>
    </xdr:to>
    <xdr:graphicFrame macro="">
      <xdr:nvGraphicFramePr>
        <xdr:cNvPr id="2" name="Chart 1">
          <a:extLst>
            <a:ext uri="{FF2B5EF4-FFF2-40B4-BE49-F238E27FC236}">
              <a16:creationId xmlns:a16="http://schemas.microsoft.com/office/drawing/2014/main" id="{38E35A07-13D1-5464-27E5-9D8D7B8E1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2</xdr:row>
      <xdr:rowOff>179070</xdr:rowOff>
    </xdr:from>
    <xdr:to>
      <xdr:col>9</xdr:col>
      <xdr:colOff>106680</xdr:colOff>
      <xdr:row>14</xdr:row>
      <xdr:rowOff>179070</xdr:rowOff>
    </xdr:to>
    <xdr:graphicFrame macro="">
      <xdr:nvGraphicFramePr>
        <xdr:cNvPr id="2" name="Chart 1">
          <a:extLst>
            <a:ext uri="{FF2B5EF4-FFF2-40B4-BE49-F238E27FC236}">
              <a16:creationId xmlns:a16="http://schemas.microsoft.com/office/drawing/2014/main" id="{BC842C18-F967-DB20-3136-E5C844389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4</xdr:row>
      <xdr:rowOff>106680</xdr:rowOff>
    </xdr:from>
    <xdr:to>
      <xdr:col>8</xdr:col>
      <xdr:colOff>140970</xdr:colOff>
      <xdr:row>16</xdr:row>
      <xdr:rowOff>106680</xdr:rowOff>
    </xdr:to>
    <xdr:graphicFrame macro="">
      <xdr:nvGraphicFramePr>
        <xdr:cNvPr id="3" name="Chart 2">
          <a:extLst>
            <a:ext uri="{FF2B5EF4-FFF2-40B4-BE49-F238E27FC236}">
              <a16:creationId xmlns:a16="http://schemas.microsoft.com/office/drawing/2014/main" id="{94374993-F03D-16D3-5B98-51813C31B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76969</xdr:colOff>
      <xdr:row>6</xdr:row>
      <xdr:rowOff>25400</xdr:rowOff>
    </xdr:from>
    <xdr:to>
      <xdr:col>9</xdr:col>
      <xdr:colOff>685030</xdr:colOff>
      <xdr:row>17</xdr:row>
      <xdr:rowOff>228600</xdr:rowOff>
    </xdr:to>
    <xdr:graphicFrame macro="">
      <xdr:nvGraphicFramePr>
        <xdr:cNvPr id="3" name="Chart 2">
          <a:extLst>
            <a:ext uri="{FF2B5EF4-FFF2-40B4-BE49-F238E27FC236}">
              <a16:creationId xmlns:a16="http://schemas.microsoft.com/office/drawing/2014/main" id="{70E46511-1858-D5DB-00A0-2C5B820F3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1056967</xdr:colOff>
      <xdr:row>7</xdr:row>
      <xdr:rowOff>106516</xdr:rowOff>
    </xdr:from>
    <xdr:to>
      <xdr:col>4</xdr:col>
      <xdr:colOff>1032387</xdr:colOff>
      <xdr:row>17</xdr:row>
      <xdr:rowOff>180258</xdr:rowOff>
    </xdr:to>
    <xdr:graphicFrame macro="">
      <xdr:nvGraphicFramePr>
        <xdr:cNvPr id="2" name="Chart 1">
          <a:extLst>
            <a:ext uri="{FF2B5EF4-FFF2-40B4-BE49-F238E27FC236}">
              <a16:creationId xmlns:a16="http://schemas.microsoft.com/office/drawing/2014/main" id="{1ABF9306-F6D3-4347-9CC9-2BD764B96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1245420</xdr:colOff>
      <xdr:row>7</xdr:row>
      <xdr:rowOff>122902</xdr:rowOff>
    </xdr:from>
    <xdr:to>
      <xdr:col>9</xdr:col>
      <xdr:colOff>32774</xdr:colOff>
      <xdr:row>17</xdr:row>
      <xdr:rowOff>196645</xdr:rowOff>
    </xdr:to>
    <xdr:graphicFrame macro="">
      <xdr:nvGraphicFramePr>
        <xdr:cNvPr id="3" name="Chart 2">
          <a:extLst>
            <a:ext uri="{FF2B5EF4-FFF2-40B4-BE49-F238E27FC236}">
              <a16:creationId xmlns:a16="http://schemas.microsoft.com/office/drawing/2014/main" id="{43A63D0E-4054-473A-B5B8-D2C01E39F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1055249</xdr:colOff>
      <xdr:row>19</xdr:row>
      <xdr:rowOff>73743</xdr:rowOff>
    </xdr:from>
    <xdr:to>
      <xdr:col>4</xdr:col>
      <xdr:colOff>1032388</xdr:colOff>
      <xdr:row>29</xdr:row>
      <xdr:rowOff>76201</xdr:rowOff>
    </xdr:to>
    <xdr:graphicFrame macro="">
      <xdr:nvGraphicFramePr>
        <xdr:cNvPr id="4" name="Chart 3">
          <a:extLst>
            <a:ext uri="{FF2B5EF4-FFF2-40B4-BE49-F238E27FC236}">
              <a16:creationId xmlns:a16="http://schemas.microsoft.com/office/drawing/2014/main" id="{F3AC8B3F-E4AB-4F0C-A9A8-16DE58554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1253613</xdr:colOff>
      <xdr:row>19</xdr:row>
      <xdr:rowOff>81936</xdr:rowOff>
    </xdr:from>
    <xdr:to>
      <xdr:col>9</xdr:col>
      <xdr:colOff>24581</xdr:colOff>
      <xdr:row>29</xdr:row>
      <xdr:rowOff>65548</xdr:rowOff>
    </xdr:to>
    <xdr:graphicFrame macro="">
      <xdr:nvGraphicFramePr>
        <xdr:cNvPr id="5" name="Chart 4">
          <a:extLst>
            <a:ext uri="{FF2B5EF4-FFF2-40B4-BE49-F238E27FC236}">
              <a16:creationId xmlns:a16="http://schemas.microsoft.com/office/drawing/2014/main" id="{3554266C-F3EC-45B0-8530-72BB17D08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139290</xdr:colOff>
      <xdr:row>7</xdr:row>
      <xdr:rowOff>133144</xdr:rowOff>
    </xdr:from>
    <xdr:to>
      <xdr:col>10</xdr:col>
      <xdr:colOff>57191</xdr:colOff>
      <xdr:row>17</xdr:row>
      <xdr:rowOff>213031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7F51CC8F-4F85-D355-7FF7-CF0DADAB73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25161" y="1853789"/>
              <a:ext cx="1671320" cy="237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1138903</xdr:colOff>
      <xdr:row>7</xdr:row>
      <xdr:rowOff>116758</xdr:rowOff>
    </xdr:from>
    <xdr:to>
      <xdr:col>5</xdr:col>
      <xdr:colOff>1162910</xdr:colOff>
      <xdr:row>17</xdr:row>
      <xdr:rowOff>196645</xdr:rowOff>
    </xdr:to>
    <mc:AlternateContent xmlns:mc="http://schemas.openxmlformats.org/markup-compatibility/2006">
      <mc:Choice xmlns:a14="http://schemas.microsoft.com/office/drawing/2010/main" Requires="a14">
        <xdr:graphicFrame macro="">
          <xdr:nvGraphicFramePr>
            <xdr:cNvPr id="10" name="Order_Month">
              <a:extLst>
                <a:ext uri="{FF2B5EF4-FFF2-40B4-BE49-F238E27FC236}">
                  <a16:creationId xmlns:a16="http://schemas.microsoft.com/office/drawing/2014/main" id="{7B53FD6E-BF47-E3A6-F617-A0EBC47579FA}"/>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5260258" y="1837403"/>
              <a:ext cx="1703684" cy="237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147484</xdr:colOff>
      <xdr:row>19</xdr:row>
      <xdr:rowOff>77346</xdr:rowOff>
    </xdr:from>
    <xdr:to>
      <xdr:col>10</xdr:col>
      <xdr:colOff>40804</xdr:colOff>
      <xdr:row>29</xdr:row>
      <xdr:rowOff>73742</xdr:rowOff>
    </xdr:to>
    <mc:AlternateContent xmlns:mc="http://schemas.openxmlformats.org/markup-compatibility/2006">
      <mc:Choice xmlns:a14="http://schemas.microsoft.com/office/drawing/2010/main" Requires="a14">
        <xdr:graphicFrame macro="">
          <xdr:nvGraphicFramePr>
            <xdr:cNvPr id="11" name="Rep">
              <a:extLst>
                <a:ext uri="{FF2B5EF4-FFF2-40B4-BE49-F238E27FC236}">
                  <a16:creationId xmlns:a16="http://schemas.microsoft.com/office/drawing/2014/main" id="{72B38DF9-9E67-09A5-0256-10302BFCFDA1}"/>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dr:sp macro="" textlink="">
          <xdr:nvSpPr>
            <xdr:cNvPr id="0" name=""/>
            <xdr:cNvSpPr>
              <a:spLocks noTextEdit="1"/>
            </xdr:cNvSpPr>
          </xdr:nvSpPr>
          <xdr:spPr>
            <a:xfrm>
              <a:off x="11233355" y="4551023"/>
              <a:ext cx="1646739" cy="2290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1155290</xdr:colOff>
      <xdr:row>19</xdr:row>
      <xdr:rowOff>73743</xdr:rowOff>
    </xdr:from>
    <xdr:to>
      <xdr:col>5</xdr:col>
      <xdr:colOff>1155291</xdr:colOff>
      <xdr:row>29</xdr:row>
      <xdr:rowOff>73743</xdr:rowOff>
    </xdr:to>
    <mc:AlternateContent xmlns:mc="http://schemas.openxmlformats.org/markup-compatibility/2006">
      <mc:Choice xmlns:a14="http://schemas.microsoft.com/office/drawing/2010/main" Requires="a14">
        <xdr:graphicFrame macro="">
          <xdr:nvGraphicFramePr>
            <xdr:cNvPr id="12" name="Order_Year">
              <a:extLst>
                <a:ext uri="{FF2B5EF4-FFF2-40B4-BE49-F238E27FC236}">
                  <a16:creationId xmlns:a16="http://schemas.microsoft.com/office/drawing/2014/main" id="{4E2CC6F9-2B46-6CF3-57BA-9D43AFD70531}"/>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5276645" y="4547420"/>
              <a:ext cx="1679678" cy="2294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ta vivek" refreshedDate="46039.493151041665" createdVersion="8" refreshedVersion="8" minRefreshableVersion="3" recordCount="43" xr:uid="{FDDBC8D8-4FC8-4023-8B43-F516724231B5}">
  <cacheSource type="worksheet">
    <worksheetSource name="Superstore_Data"/>
  </cacheSource>
  <cacheFields count="26">
    <cacheField name="OrderDate" numFmtId="14">
      <sharedItems containsSemiMixedTypes="0" containsNonDate="0" containsDate="1" containsString="0" minDate="2024-01-06T00:00:00" maxDate="2025-12-22T00:00:00"/>
    </cacheField>
    <cacheField name="Region" numFmtId="0">
      <sharedItems count="3">
        <s v="East"/>
        <s v="Central"/>
        <s v="West"/>
      </sharedItems>
    </cacheField>
    <cacheField name="Rep" numFmtId="0">
      <sharedItems count="11">
        <s v="Jones"/>
        <s v="Kivell"/>
        <s v="Jardine"/>
        <s v="Gill"/>
        <s v="Sorvino"/>
        <s v="Andrews"/>
        <s v="Thompson"/>
        <s v="Morgan"/>
        <s v="Howard"/>
        <s v="Parent"/>
        <s v="Smith"/>
      </sharedItems>
    </cacheField>
    <cacheField name="Item" numFmtId="0">
      <sharedItems/>
    </cacheField>
    <cacheField name="Units" numFmtId="0">
      <sharedItems containsSemiMixedTypes="0" containsString="0" containsNumber="1" containsInteger="1" minValue="2" maxValue="96"/>
    </cacheField>
    <cacheField name="Unit Cost" numFmtId="165">
      <sharedItems containsSemiMixedTypes="0" containsString="0" containsNumber="1" minValue="1.29" maxValue="275"/>
    </cacheField>
    <cacheField name="Order_Year" numFmtId="165">
      <sharedItems count="2">
        <s v="2024"/>
        <s v="2025"/>
      </sharedItems>
    </cacheField>
    <cacheField name="Order_Month" numFmtId="165">
      <sharedItems count="12">
        <s v="January"/>
        <s v="February"/>
        <s v="March"/>
        <s v="April"/>
        <s v="May"/>
        <s v="June"/>
        <s v="July"/>
        <s v="August"/>
        <s v="September"/>
        <s v="October"/>
        <s v="November"/>
        <s v="December"/>
      </sharedItems>
    </cacheField>
    <cacheField name="SellingPrice" numFmtId="165">
      <sharedItems containsSemiMixedTypes="0" containsString="0" containsNumber="1" minValue="1.677" maxValue="357.5"/>
    </cacheField>
    <cacheField name="Sales" numFmtId="165">
      <sharedItems containsSemiMixedTypes="0" containsString="0" containsNumber="1" minValue="11.739000000000001" maxValue="2442.7779999999998" count="41">
        <n v="245.76500000000001"/>
        <n v="1299.3499999999999"/>
        <n v="233.53200000000001"/>
        <n v="701.649"/>
        <n v="217.67200000000003"/>
        <n v="389.22"/>
        <n v="194.02500000000001"/>
        <n v="583.83000000000004"/>
        <n v="82.784000000000006"/>
        <n v="701.22"/>
        <n v="75.02300000000001"/>
        <n v="2104.9469999999997"/>
        <n v="227.04500000000002"/>
        <n v="325"/>
        <n v="332.59200000000004"/>
        <n v="327.23600000000005"/>
        <n v="747.96800000000007"/>
        <n v="389.80499999999995"/>
        <n v="622.75199999999995"/>
        <n v="112.35900000000001"/>
        <n v="1538.2380000000003"/>
        <n v="537.60200000000009"/>
        <n v="1696.5"/>
        <n v="25.948"/>
        <n v="181.90899999999999"/>
        <n v="324.35000000000002"/>
        <n v="170.74200000000002"/>
        <n v="88.881"/>
        <n v="934.96"/>
        <n v="812.5"/>
        <n v="402.19400000000002"/>
        <n v="893.03500000000008"/>
        <n v="1307.67"/>
        <n v="1072.5"/>
        <n v="11.739000000000001"/>
        <n v="196.61200000000002"/>
        <n v="1481.259"/>
        <n v="23.478000000000002"/>
        <n v="71.356999999999999"/>
        <n v="2442.7779999999998"/>
        <n v="181.636"/>
      </sharedItems>
    </cacheField>
    <cacheField name="Profit" numFmtId="165">
      <sharedItems containsSemiMixedTypes="0" containsString="0" containsNumber="1" minValue="2.7090000000000001" maxValue="563.71799999999996" count="41">
        <n v="56.715000000000018"/>
        <n v="299.85000000000002"/>
        <n v="53.891999999999996"/>
        <n v="161.91899999999998"/>
        <n v="50.232000000000014"/>
        <n v="89.82"/>
        <n v="44.775000000000013"/>
        <n v="134.72999999999999"/>
        <n v="19.104000000000006"/>
        <n v="161.82000000000005"/>
        <n v="17.313000000000006"/>
        <n v="485.75700000000001"/>
        <n v="52.394999999999996"/>
        <n v="75"/>
        <n v="76.752000000000038"/>
        <n v="75.51600000000002"/>
        <n v="172.60800000000006"/>
        <n v="89.954999999999998"/>
        <n v="143.71199999999999"/>
        <n v="25.929000000000002"/>
        <n v="354.97800000000018"/>
        <n v="124.06200000000004"/>
        <n v="391.5"/>
        <n v="5.9879999999999995"/>
        <n v="41.978999999999999"/>
        <n v="74.849999999999994"/>
        <n v="39.402000000000015"/>
        <n v="20.510999999999999"/>
        <n v="215.76000000000008"/>
        <n v="187.5"/>
        <n v="92.813999999999993"/>
        <n v="206.08500000000009"/>
        <n v="301.7700000000001"/>
        <n v="247.5"/>
        <n v="2.7090000000000001"/>
        <n v="45.372000000000014"/>
        <n v="341.82900000000001"/>
        <n v="5.4180000000000001"/>
        <n v="16.466999999999999"/>
        <n v="563.71799999999996"/>
        <n v="41.915999999999997"/>
      </sharedItems>
    </cacheField>
    <cacheField name="ProfitPercentage" numFmtId="165">
      <sharedItems containsSemiMixedTypes="0" containsString="0" containsNumber="1" minValue="0.23076923076923073" maxValue="0.23076923076923087"/>
    </cacheField>
    <cacheField name="Total" numFmtId="165">
      <sharedItems containsSemiMixedTypes="0" containsString="0" containsNumber="1" minValue="9.0300000000000011" maxValue="1879.06"/>
    </cacheField>
    <cacheField name="Column1" numFmtId="165">
      <sharedItems containsNonDate="0" containsString="0" containsBlank="1"/>
    </cacheField>
    <cacheField name="Column2" numFmtId="165">
      <sharedItems containsNonDate="0" containsString="0" containsBlank="1"/>
    </cacheField>
    <cacheField name="Column3" numFmtId="165">
      <sharedItems containsNonDate="0" containsString="0" containsBlank="1"/>
    </cacheField>
    <cacheField name="Column4" numFmtId="165">
      <sharedItems containsNonDate="0" containsString="0" containsBlank="1"/>
    </cacheField>
    <cacheField name="Column5" numFmtId="165">
      <sharedItems containsNonDate="0" containsString="0" containsBlank="1"/>
    </cacheField>
    <cacheField name="Column6" numFmtId="165">
      <sharedItems containsNonDate="0" containsString="0" containsBlank="1"/>
    </cacheField>
    <cacheField name="Column7" numFmtId="165">
      <sharedItems containsNonDate="0" containsString="0" containsBlank="1"/>
    </cacheField>
    <cacheField name="Column8" numFmtId="165">
      <sharedItems containsNonDate="0" containsString="0" containsBlank="1"/>
    </cacheField>
    <cacheField name="Column9" numFmtId="165">
      <sharedItems containsNonDate="0" containsString="0" containsBlank="1"/>
    </cacheField>
    <cacheField name="Column10" numFmtId="165">
      <sharedItems containsNonDate="0" containsString="0" containsBlank="1"/>
    </cacheField>
    <cacheField name="Column11" numFmtId="165">
      <sharedItems containsNonDate="0" containsString="0" containsBlank="1"/>
    </cacheField>
    <cacheField name="Column12" numFmtId="165">
      <sharedItems containsNonDate="0" containsString="0" containsBlank="1"/>
    </cacheField>
    <cacheField name="Column13" numFmtId="165">
      <sharedItems containsNonDate="0" containsString="0" containsBlank="1"/>
    </cacheField>
  </cacheFields>
  <extLst>
    <ext xmlns:x14="http://schemas.microsoft.com/office/spreadsheetml/2009/9/main" uri="{725AE2AE-9491-48be-B2B4-4EB974FC3084}">
      <x14:pivotCacheDefinition pivotCacheId="1524760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d v="2024-01-06T00:00:00"/>
    <x v="0"/>
    <x v="0"/>
    <s v="Pencil"/>
    <n v="95"/>
    <n v="1.99"/>
    <x v="0"/>
    <x v="0"/>
    <n v="2.5870000000000002"/>
    <x v="0"/>
    <x v="0"/>
    <n v="0.23076923076923084"/>
    <n v="189.05"/>
    <m/>
    <m/>
    <m/>
    <m/>
    <m/>
    <m/>
    <m/>
    <m/>
    <m/>
    <m/>
    <m/>
    <m/>
    <m/>
  </r>
  <r>
    <d v="2024-01-23T00:00:00"/>
    <x v="1"/>
    <x v="1"/>
    <s v="Binder"/>
    <n v="50"/>
    <n v="19.989999999999998"/>
    <x v="0"/>
    <x v="0"/>
    <n v="25.986999999999998"/>
    <x v="1"/>
    <x v="1"/>
    <n v="0.23076923076923081"/>
    <n v="999.49999999999989"/>
    <m/>
    <m/>
    <m/>
    <m/>
    <m/>
    <m/>
    <m/>
    <m/>
    <m/>
    <m/>
    <m/>
    <m/>
    <m/>
  </r>
  <r>
    <d v="2024-02-09T00:00:00"/>
    <x v="1"/>
    <x v="2"/>
    <s v="Pencil"/>
    <n v="36"/>
    <n v="4.99"/>
    <x v="0"/>
    <x v="1"/>
    <n v="6.4870000000000001"/>
    <x v="2"/>
    <x v="2"/>
    <n v="0.23076923076923075"/>
    <n v="179.64000000000001"/>
    <m/>
    <m/>
    <m/>
    <m/>
    <m/>
    <m/>
    <m/>
    <m/>
    <m/>
    <m/>
    <m/>
    <m/>
    <m/>
  </r>
  <r>
    <d v="2024-02-26T00:00:00"/>
    <x v="1"/>
    <x v="3"/>
    <s v="Pen"/>
    <n v="27"/>
    <n v="19.989999999999998"/>
    <x v="0"/>
    <x v="1"/>
    <n v="25.986999999999998"/>
    <x v="3"/>
    <x v="3"/>
    <n v="0.23076923076923075"/>
    <n v="539.7299999999999"/>
    <m/>
    <m/>
    <m/>
    <m/>
    <m/>
    <m/>
    <m/>
    <m/>
    <m/>
    <m/>
    <m/>
    <m/>
    <m/>
  </r>
  <r>
    <d v="2024-03-15T00:00:00"/>
    <x v="2"/>
    <x v="4"/>
    <s v="Pencil"/>
    <n v="56"/>
    <n v="2.99"/>
    <x v="0"/>
    <x v="2"/>
    <n v="3.8870000000000005"/>
    <x v="4"/>
    <x v="4"/>
    <n v="0.23076923076923081"/>
    <n v="167.44"/>
    <m/>
    <m/>
    <m/>
    <m/>
    <m/>
    <m/>
    <m/>
    <m/>
    <m/>
    <m/>
    <m/>
    <m/>
    <m/>
  </r>
  <r>
    <d v="2024-04-01T00:00:00"/>
    <x v="0"/>
    <x v="0"/>
    <s v="Binder"/>
    <n v="60"/>
    <n v="4.99"/>
    <x v="0"/>
    <x v="3"/>
    <n v="6.4870000000000001"/>
    <x v="5"/>
    <x v="5"/>
    <n v="0.23076923076923073"/>
    <n v="299.40000000000003"/>
    <m/>
    <m/>
    <m/>
    <m/>
    <m/>
    <m/>
    <m/>
    <m/>
    <m/>
    <m/>
    <m/>
    <m/>
    <m/>
  </r>
  <r>
    <d v="2024-04-18T00:00:00"/>
    <x v="1"/>
    <x v="5"/>
    <s v="Pencil"/>
    <n v="75"/>
    <n v="1.99"/>
    <x v="0"/>
    <x v="3"/>
    <n v="2.5870000000000002"/>
    <x v="6"/>
    <x v="6"/>
    <n v="0.23076923076923084"/>
    <n v="149.25"/>
    <m/>
    <m/>
    <m/>
    <m/>
    <m/>
    <m/>
    <m/>
    <m/>
    <m/>
    <m/>
    <m/>
    <m/>
    <m/>
  </r>
  <r>
    <d v="2024-05-05T00:00:00"/>
    <x v="1"/>
    <x v="2"/>
    <s v="Pencil"/>
    <n v="90"/>
    <n v="4.99"/>
    <x v="0"/>
    <x v="4"/>
    <n v="6.4870000000000001"/>
    <x v="7"/>
    <x v="7"/>
    <n v="0.23076923076923073"/>
    <n v="449.1"/>
    <m/>
    <m/>
    <m/>
    <m/>
    <m/>
    <m/>
    <m/>
    <m/>
    <m/>
    <m/>
    <m/>
    <m/>
    <m/>
  </r>
  <r>
    <d v="2024-05-22T00:00:00"/>
    <x v="2"/>
    <x v="6"/>
    <s v="Pencil"/>
    <n v="32"/>
    <n v="1.99"/>
    <x v="0"/>
    <x v="4"/>
    <n v="2.5870000000000002"/>
    <x v="8"/>
    <x v="8"/>
    <n v="0.23076923076923084"/>
    <n v="63.68"/>
    <m/>
    <m/>
    <m/>
    <m/>
    <m/>
    <m/>
    <m/>
    <m/>
    <m/>
    <m/>
    <m/>
    <m/>
    <m/>
  </r>
  <r>
    <d v="2024-06-08T00:00:00"/>
    <x v="0"/>
    <x v="0"/>
    <s v="Binder"/>
    <n v="60"/>
    <n v="8.99"/>
    <x v="0"/>
    <x v="5"/>
    <n v="11.687000000000001"/>
    <x v="9"/>
    <x v="9"/>
    <n v="0.23076923076923084"/>
    <n v="539.4"/>
    <m/>
    <m/>
    <m/>
    <m/>
    <m/>
    <m/>
    <m/>
    <m/>
    <m/>
    <m/>
    <m/>
    <m/>
    <m/>
  </r>
  <r>
    <d v="2024-06-25T00:00:00"/>
    <x v="1"/>
    <x v="7"/>
    <s v="Pencil"/>
    <n v="90"/>
    <n v="4.99"/>
    <x v="0"/>
    <x v="5"/>
    <n v="6.4870000000000001"/>
    <x v="7"/>
    <x v="7"/>
    <n v="0.23076923076923073"/>
    <n v="449.1"/>
    <m/>
    <m/>
    <m/>
    <m/>
    <m/>
    <m/>
    <m/>
    <m/>
    <m/>
    <m/>
    <m/>
    <m/>
    <m/>
  </r>
  <r>
    <d v="2024-07-12T00:00:00"/>
    <x v="0"/>
    <x v="8"/>
    <s v="Binder"/>
    <n v="29"/>
    <n v="1.99"/>
    <x v="0"/>
    <x v="6"/>
    <n v="2.5870000000000002"/>
    <x v="10"/>
    <x v="10"/>
    <n v="0.23076923076923081"/>
    <n v="57.71"/>
    <m/>
    <m/>
    <m/>
    <m/>
    <m/>
    <m/>
    <m/>
    <m/>
    <m/>
    <m/>
    <m/>
    <m/>
    <m/>
  </r>
  <r>
    <d v="2024-07-29T00:00:00"/>
    <x v="0"/>
    <x v="9"/>
    <s v="Binder"/>
    <n v="81"/>
    <n v="19.989999999999998"/>
    <x v="0"/>
    <x v="6"/>
    <n v="25.986999999999998"/>
    <x v="11"/>
    <x v="11"/>
    <n v="0.23076923076923081"/>
    <n v="1619.1899999999998"/>
    <m/>
    <m/>
    <m/>
    <m/>
    <m/>
    <m/>
    <m/>
    <m/>
    <m/>
    <m/>
    <m/>
    <m/>
    <m/>
  </r>
  <r>
    <d v="2024-08-15T00:00:00"/>
    <x v="0"/>
    <x v="0"/>
    <s v="Pencil"/>
    <n v="35"/>
    <n v="4.99"/>
    <x v="0"/>
    <x v="7"/>
    <n v="6.4870000000000001"/>
    <x v="12"/>
    <x v="12"/>
    <n v="0.23076923076923073"/>
    <n v="174.65"/>
    <m/>
    <m/>
    <m/>
    <m/>
    <m/>
    <m/>
    <m/>
    <m/>
    <m/>
    <m/>
    <m/>
    <m/>
    <m/>
  </r>
  <r>
    <d v="2024-09-01T00:00:00"/>
    <x v="1"/>
    <x v="10"/>
    <s v="Desk"/>
    <n v="2"/>
    <n v="125"/>
    <x v="0"/>
    <x v="8"/>
    <n v="162.5"/>
    <x v="13"/>
    <x v="13"/>
    <n v="0.23076923076923078"/>
    <n v="250"/>
    <m/>
    <m/>
    <m/>
    <m/>
    <m/>
    <m/>
    <m/>
    <m/>
    <m/>
    <m/>
    <m/>
    <m/>
    <m/>
  </r>
  <r>
    <d v="2024-09-18T00:00:00"/>
    <x v="0"/>
    <x v="0"/>
    <s v="Pen Set"/>
    <n v="16"/>
    <n v="15.99"/>
    <x v="0"/>
    <x v="8"/>
    <n v="20.787000000000003"/>
    <x v="14"/>
    <x v="14"/>
    <n v="0.23076923076923087"/>
    <n v="255.84"/>
    <m/>
    <m/>
    <m/>
    <m/>
    <m/>
    <m/>
    <m/>
    <m/>
    <m/>
    <m/>
    <m/>
    <m/>
    <m/>
  </r>
  <r>
    <d v="2024-10-05T00:00:00"/>
    <x v="1"/>
    <x v="7"/>
    <s v="Binder"/>
    <n v="28"/>
    <n v="8.99"/>
    <x v="0"/>
    <x v="9"/>
    <n v="11.687000000000001"/>
    <x v="15"/>
    <x v="15"/>
    <n v="0.23076923076923081"/>
    <n v="251.72"/>
    <m/>
    <m/>
    <m/>
    <m/>
    <m/>
    <m/>
    <m/>
    <m/>
    <m/>
    <m/>
    <m/>
    <m/>
    <m/>
  </r>
  <r>
    <d v="2024-10-22T00:00:00"/>
    <x v="0"/>
    <x v="0"/>
    <s v="Pen"/>
    <n v="64"/>
    <n v="8.99"/>
    <x v="0"/>
    <x v="9"/>
    <n v="11.687000000000001"/>
    <x v="16"/>
    <x v="16"/>
    <n v="0.23076923076923084"/>
    <n v="575.36"/>
    <m/>
    <m/>
    <m/>
    <m/>
    <m/>
    <m/>
    <m/>
    <m/>
    <m/>
    <m/>
    <m/>
    <m/>
    <m/>
  </r>
  <r>
    <d v="2024-11-08T00:00:00"/>
    <x v="0"/>
    <x v="9"/>
    <s v="Pen"/>
    <n v="15"/>
    <n v="19.989999999999998"/>
    <x v="0"/>
    <x v="10"/>
    <n v="25.986999999999998"/>
    <x v="17"/>
    <x v="17"/>
    <n v="0.23076923076923078"/>
    <n v="299.84999999999997"/>
    <m/>
    <m/>
    <m/>
    <m/>
    <m/>
    <m/>
    <m/>
    <m/>
    <m/>
    <m/>
    <m/>
    <m/>
    <m/>
  </r>
  <r>
    <d v="2024-11-25T00:00:00"/>
    <x v="1"/>
    <x v="1"/>
    <s v="Pen Set"/>
    <n v="96"/>
    <n v="4.99"/>
    <x v="0"/>
    <x v="10"/>
    <n v="6.4870000000000001"/>
    <x v="18"/>
    <x v="18"/>
    <n v="0.23076923076923078"/>
    <n v="479.04"/>
    <m/>
    <m/>
    <m/>
    <m/>
    <m/>
    <m/>
    <m/>
    <m/>
    <m/>
    <m/>
    <m/>
    <m/>
    <m/>
  </r>
  <r>
    <d v="2024-12-12T00:00:00"/>
    <x v="1"/>
    <x v="10"/>
    <s v="Pencil"/>
    <n v="67"/>
    <n v="1.29"/>
    <x v="0"/>
    <x v="11"/>
    <n v="1.677"/>
    <x v="19"/>
    <x v="19"/>
    <n v="0.23076923076923078"/>
    <n v="86.43"/>
    <m/>
    <m/>
    <m/>
    <m/>
    <m/>
    <m/>
    <m/>
    <m/>
    <m/>
    <m/>
    <m/>
    <m/>
    <m/>
  </r>
  <r>
    <d v="2024-12-29T00:00:00"/>
    <x v="0"/>
    <x v="9"/>
    <s v="Pen Set"/>
    <n v="74"/>
    <n v="15.99"/>
    <x v="0"/>
    <x v="11"/>
    <n v="20.787000000000003"/>
    <x v="20"/>
    <x v="20"/>
    <n v="0.23076923076923084"/>
    <n v="1183.26"/>
    <m/>
    <m/>
    <m/>
    <m/>
    <m/>
    <m/>
    <m/>
    <m/>
    <m/>
    <m/>
    <m/>
    <m/>
    <m/>
  </r>
  <r>
    <d v="2025-01-15T00:00:00"/>
    <x v="1"/>
    <x v="3"/>
    <s v="Binder"/>
    <n v="46"/>
    <n v="8.99"/>
    <x v="1"/>
    <x v="0"/>
    <n v="11.687000000000001"/>
    <x v="21"/>
    <x v="21"/>
    <n v="0.23076923076923081"/>
    <n v="413.54"/>
    <m/>
    <m/>
    <m/>
    <m/>
    <m/>
    <m/>
    <m/>
    <m/>
    <m/>
    <m/>
    <m/>
    <m/>
    <m/>
  </r>
  <r>
    <d v="2025-02-01T00:00:00"/>
    <x v="1"/>
    <x v="10"/>
    <s v="Binder"/>
    <n v="87"/>
    <n v="15"/>
    <x v="1"/>
    <x v="1"/>
    <n v="19.5"/>
    <x v="22"/>
    <x v="22"/>
    <n v="0.23076923076923078"/>
    <n v="1305"/>
    <m/>
    <m/>
    <m/>
    <m/>
    <m/>
    <m/>
    <m/>
    <m/>
    <m/>
    <m/>
    <m/>
    <m/>
    <m/>
  </r>
  <r>
    <d v="2025-02-18T00:00:00"/>
    <x v="0"/>
    <x v="0"/>
    <s v="Binder"/>
    <n v="4"/>
    <n v="4.99"/>
    <x v="1"/>
    <x v="1"/>
    <n v="6.4870000000000001"/>
    <x v="23"/>
    <x v="23"/>
    <n v="0.23076923076923075"/>
    <n v="19.96"/>
    <m/>
    <m/>
    <m/>
    <m/>
    <m/>
    <m/>
    <m/>
    <m/>
    <m/>
    <m/>
    <m/>
    <m/>
    <m/>
  </r>
  <r>
    <d v="2025-03-07T00:00:00"/>
    <x v="2"/>
    <x v="4"/>
    <s v="Binder"/>
    <n v="7"/>
    <n v="19.989999999999998"/>
    <x v="1"/>
    <x v="2"/>
    <n v="25.986999999999998"/>
    <x v="24"/>
    <x v="24"/>
    <n v="0.23076923076923078"/>
    <n v="139.92999999999998"/>
    <m/>
    <m/>
    <m/>
    <m/>
    <m/>
    <m/>
    <m/>
    <m/>
    <m/>
    <m/>
    <m/>
    <m/>
    <m/>
  </r>
  <r>
    <d v="2025-03-24T00:00:00"/>
    <x v="1"/>
    <x v="2"/>
    <s v="Pen Set"/>
    <n v="50"/>
    <n v="4.99"/>
    <x v="1"/>
    <x v="2"/>
    <n v="6.4870000000000001"/>
    <x v="25"/>
    <x v="25"/>
    <n v="0.23076923076923073"/>
    <n v="249.5"/>
    <m/>
    <m/>
    <m/>
    <m/>
    <m/>
    <m/>
    <m/>
    <m/>
    <m/>
    <m/>
    <m/>
    <m/>
    <m/>
  </r>
  <r>
    <d v="2025-04-10T00:00:00"/>
    <x v="1"/>
    <x v="5"/>
    <s v="Pencil"/>
    <n v="66"/>
    <n v="1.99"/>
    <x v="1"/>
    <x v="3"/>
    <n v="2.5870000000000002"/>
    <x v="26"/>
    <x v="26"/>
    <n v="0.23076923076923084"/>
    <n v="131.34"/>
    <m/>
    <m/>
    <m/>
    <m/>
    <m/>
    <m/>
    <m/>
    <m/>
    <m/>
    <m/>
    <m/>
    <m/>
    <m/>
  </r>
  <r>
    <d v="2025-04-27T00:00:00"/>
    <x v="0"/>
    <x v="8"/>
    <s v="Pen"/>
    <n v="96"/>
    <n v="4.99"/>
    <x v="1"/>
    <x v="3"/>
    <n v="6.4870000000000001"/>
    <x v="18"/>
    <x v="18"/>
    <n v="0.23076923076923078"/>
    <n v="479.04"/>
    <m/>
    <m/>
    <m/>
    <m/>
    <m/>
    <m/>
    <m/>
    <m/>
    <m/>
    <m/>
    <m/>
    <m/>
    <m/>
  </r>
  <r>
    <d v="2025-05-14T00:00:00"/>
    <x v="1"/>
    <x v="3"/>
    <s v="Pencil"/>
    <n v="53"/>
    <n v="1.29"/>
    <x v="1"/>
    <x v="4"/>
    <n v="1.677"/>
    <x v="27"/>
    <x v="27"/>
    <n v="0.23076923076923075"/>
    <n v="68.37"/>
    <m/>
    <m/>
    <m/>
    <m/>
    <m/>
    <m/>
    <m/>
    <m/>
    <m/>
    <m/>
    <m/>
    <m/>
    <m/>
  </r>
  <r>
    <d v="2025-05-31T00:00:00"/>
    <x v="1"/>
    <x v="3"/>
    <s v="Binder"/>
    <n v="80"/>
    <n v="8.99"/>
    <x v="1"/>
    <x v="4"/>
    <n v="11.687000000000001"/>
    <x v="28"/>
    <x v="28"/>
    <n v="0.23076923076923084"/>
    <n v="719.2"/>
    <m/>
    <m/>
    <m/>
    <m/>
    <m/>
    <m/>
    <m/>
    <m/>
    <m/>
    <m/>
    <m/>
    <m/>
    <m/>
  </r>
  <r>
    <d v="2025-06-17T00:00:00"/>
    <x v="1"/>
    <x v="1"/>
    <s v="Desk"/>
    <n v="5"/>
    <n v="125"/>
    <x v="1"/>
    <x v="5"/>
    <n v="162.5"/>
    <x v="29"/>
    <x v="29"/>
    <n v="0.23076923076923078"/>
    <n v="625"/>
    <m/>
    <m/>
    <m/>
    <m/>
    <m/>
    <m/>
    <m/>
    <m/>
    <m/>
    <m/>
    <m/>
    <m/>
    <m/>
  </r>
  <r>
    <d v="2025-07-04T00:00:00"/>
    <x v="0"/>
    <x v="0"/>
    <s v="Pen Set"/>
    <n v="62"/>
    <n v="4.99"/>
    <x v="1"/>
    <x v="6"/>
    <n v="6.4870000000000001"/>
    <x v="30"/>
    <x v="30"/>
    <n v="0.23076923076923075"/>
    <n v="309.38"/>
    <m/>
    <m/>
    <m/>
    <m/>
    <m/>
    <m/>
    <m/>
    <m/>
    <m/>
    <m/>
    <m/>
    <m/>
    <m/>
  </r>
  <r>
    <d v="2025-07-21T00:00:00"/>
    <x v="1"/>
    <x v="7"/>
    <s v="Pen Set"/>
    <n v="55"/>
    <n v="12.49"/>
    <x v="1"/>
    <x v="6"/>
    <n v="16.237000000000002"/>
    <x v="31"/>
    <x v="31"/>
    <n v="0.23076923076923087"/>
    <n v="686.95"/>
    <m/>
    <m/>
    <m/>
    <m/>
    <m/>
    <m/>
    <m/>
    <m/>
    <m/>
    <m/>
    <m/>
    <m/>
    <m/>
  </r>
  <r>
    <d v="2025-08-07T00:00:00"/>
    <x v="1"/>
    <x v="1"/>
    <s v="Pen Set"/>
    <n v="42"/>
    <n v="23.95"/>
    <x v="1"/>
    <x v="7"/>
    <n v="31.135000000000002"/>
    <x v="32"/>
    <x v="32"/>
    <n v="0.23076923076923084"/>
    <n v="1005.9"/>
    <m/>
    <m/>
    <m/>
    <m/>
    <m/>
    <m/>
    <m/>
    <m/>
    <m/>
    <m/>
    <m/>
    <m/>
    <m/>
  </r>
  <r>
    <d v="2025-08-24T00:00:00"/>
    <x v="2"/>
    <x v="4"/>
    <s v="Desk"/>
    <n v="3"/>
    <n v="275"/>
    <x v="1"/>
    <x v="7"/>
    <n v="357.5"/>
    <x v="33"/>
    <x v="33"/>
    <n v="0.23076923076923078"/>
    <n v="825"/>
    <m/>
    <m/>
    <m/>
    <m/>
    <m/>
    <m/>
    <m/>
    <m/>
    <m/>
    <m/>
    <m/>
    <m/>
    <m/>
  </r>
  <r>
    <d v="2025-09-10T00:00:00"/>
    <x v="1"/>
    <x v="3"/>
    <s v="Pencil"/>
    <n v="7"/>
    <n v="1.29"/>
    <x v="1"/>
    <x v="8"/>
    <n v="1.677"/>
    <x v="34"/>
    <x v="34"/>
    <n v="0.23076923076923075"/>
    <n v="9.0300000000000011"/>
    <m/>
    <m/>
    <m/>
    <m/>
    <m/>
    <m/>
    <m/>
    <m/>
    <m/>
    <m/>
    <m/>
    <m/>
    <m/>
  </r>
  <r>
    <d v="2025-09-27T00:00:00"/>
    <x v="2"/>
    <x v="4"/>
    <s v="Pen"/>
    <n v="76"/>
    <n v="1.99"/>
    <x v="1"/>
    <x v="8"/>
    <n v="2.5870000000000002"/>
    <x v="35"/>
    <x v="35"/>
    <n v="0.23076923076923081"/>
    <n v="151.24"/>
    <m/>
    <m/>
    <m/>
    <m/>
    <m/>
    <m/>
    <m/>
    <m/>
    <m/>
    <m/>
    <m/>
    <m/>
    <m/>
  </r>
  <r>
    <d v="2025-10-14T00:00:00"/>
    <x v="2"/>
    <x v="6"/>
    <s v="Binder"/>
    <n v="57"/>
    <n v="19.989999999999998"/>
    <x v="1"/>
    <x v="9"/>
    <n v="25.986999999999998"/>
    <x v="36"/>
    <x v="36"/>
    <n v="0.23076923076923078"/>
    <n v="1139.4299999999998"/>
    <m/>
    <m/>
    <m/>
    <m/>
    <m/>
    <m/>
    <m/>
    <m/>
    <m/>
    <m/>
    <m/>
    <m/>
    <m/>
  </r>
  <r>
    <d v="2025-10-31T00:00:00"/>
    <x v="1"/>
    <x v="5"/>
    <s v="Pencil"/>
    <n v="14"/>
    <n v="1.29"/>
    <x v="1"/>
    <x v="9"/>
    <n v="1.677"/>
    <x v="37"/>
    <x v="37"/>
    <n v="0.23076923076923075"/>
    <n v="18.060000000000002"/>
    <m/>
    <m/>
    <m/>
    <m/>
    <m/>
    <m/>
    <m/>
    <m/>
    <m/>
    <m/>
    <m/>
    <m/>
    <m/>
  </r>
  <r>
    <d v="2025-11-17T00:00:00"/>
    <x v="1"/>
    <x v="2"/>
    <s v="Binder"/>
    <n v="11"/>
    <n v="4.99"/>
    <x v="1"/>
    <x v="10"/>
    <n v="6.4870000000000001"/>
    <x v="38"/>
    <x v="38"/>
    <n v="0.23076923076923075"/>
    <n v="54.89"/>
    <m/>
    <m/>
    <m/>
    <m/>
    <m/>
    <m/>
    <m/>
    <m/>
    <m/>
    <m/>
    <m/>
    <m/>
    <m/>
  </r>
  <r>
    <d v="2025-12-04T00:00:00"/>
    <x v="1"/>
    <x v="2"/>
    <s v="Binder"/>
    <n v="94"/>
    <n v="19.989999999999998"/>
    <x v="1"/>
    <x v="11"/>
    <n v="25.986999999999998"/>
    <x v="39"/>
    <x v="39"/>
    <n v="0.23076923076923078"/>
    <n v="1879.06"/>
    <m/>
    <m/>
    <m/>
    <m/>
    <m/>
    <m/>
    <m/>
    <m/>
    <m/>
    <m/>
    <m/>
    <m/>
    <m/>
  </r>
  <r>
    <d v="2025-12-21T00:00:00"/>
    <x v="1"/>
    <x v="5"/>
    <s v="Binder"/>
    <n v="28"/>
    <n v="4.99"/>
    <x v="1"/>
    <x v="11"/>
    <n v="6.4870000000000001"/>
    <x v="40"/>
    <x v="40"/>
    <n v="0.23076923076923075"/>
    <n v="139.72"/>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2922B9-4D9A-4B7E-AB4A-CE4EAA3A37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5" firstHeaderRow="0" firstDataRow="1" firstDataCol="1"/>
  <pivotFields count="26">
    <pivotField numFmtId="14" showAll="0"/>
    <pivotField showAll="0"/>
    <pivotField showAll="0">
      <items count="12">
        <item h="1" x="5"/>
        <item x="3"/>
        <item h="1" x="8"/>
        <item h="1" x="2"/>
        <item h="1" x="0"/>
        <item h="1" x="1"/>
        <item h="1" x="7"/>
        <item h="1" x="9"/>
        <item h="1" x="10"/>
        <item h="1" x="4"/>
        <item h="1" x="6"/>
        <item t="default"/>
      </items>
    </pivotField>
    <pivotField showAll="0"/>
    <pivotField showAll="0"/>
    <pivotField numFmtId="165" showAll="0"/>
    <pivotField axis="axisRow" showAll="0">
      <items count="3">
        <item x="0"/>
        <item h="1" x="1"/>
        <item t="default"/>
      </items>
    </pivotField>
    <pivotField showAll="0"/>
    <pivotField numFmtId="165" showAll="0"/>
    <pivotField dataField="1"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2"/>
  </colFields>
  <colItems count="2">
    <i>
      <x/>
    </i>
    <i i="1">
      <x v="1"/>
    </i>
  </colItems>
  <dataFields count="2">
    <dataField name="Sum of Sales" fld="9" baseField="6" baseItem="0" numFmtId="166"/>
    <dataField name="Sum of Profit" fld="10" baseField="6"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0C930B-5865-4722-839E-EEE76D0ACA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7" firstHeaderRow="0" firstDataRow="1" firstDataCol="1"/>
  <pivotFields count="26">
    <pivotField numFmtId="14" showAll="0"/>
    <pivotField axis="axisRow" showAll="0">
      <items count="4">
        <item x="1"/>
        <item x="0"/>
        <item x="2"/>
        <item t="default"/>
      </items>
    </pivotField>
    <pivotField showAll="0"/>
    <pivotField showAll="0"/>
    <pivotField showAll="0"/>
    <pivotField numFmtId="165" showAll="0"/>
    <pivotField showAll="0"/>
    <pivotField showAll="0"/>
    <pivotField numFmtId="165" showAll="0"/>
    <pivotField dataField="1"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Sum of Sales" fld="9" baseField="1" baseItem="0" numFmtId="166"/>
    <dataField name="Sum of Profit" fld="10" baseField="1" baseItem="0" numFmtId="166"/>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0A04AE-3222-490B-A66E-F40161742B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5" firstHeaderRow="1" firstDataRow="1" firstDataCol="1"/>
  <pivotFields count="26">
    <pivotField numFmtId="14" showAll="0"/>
    <pivotField showAll="0">
      <items count="4">
        <item x="1"/>
        <item h="1" x="0"/>
        <item h="1" x="2"/>
        <item t="default"/>
      </items>
    </pivotField>
    <pivotField showAll="0"/>
    <pivotField showAll="0"/>
    <pivotField showAll="0"/>
    <pivotField numFmtId="165" showAll="0"/>
    <pivotField showAll="0"/>
    <pivotField axis="axisRow" showAll="0">
      <items count="13">
        <item x="0"/>
        <item h="1" x="1"/>
        <item h="1" x="2"/>
        <item h="1" x="3"/>
        <item h="1" x="4"/>
        <item h="1" x="5"/>
        <item h="1" x="6"/>
        <item h="1" x="7"/>
        <item h="1" x="8"/>
        <item h="1" x="9"/>
        <item h="1" x="10"/>
        <item h="1" x="11"/>
        <item t="default"/>
      </items>
    </pivotField>
    <pivotField numFmtId="165" showAll="0"/>
    <pivotField dataField="1" numFmtId="165" showAll="0">
      <items count="42">
        <item x="34"/>
        <item x="37"/>
        <item x="23"/>
        <item x="38"/>
        <item x="10"/>
        <item x="8"/>
        <item x="27"/>
        <item x="19"/>
        <item x="26"/>
        <item x="40"/>
        <item x="24"/>
        <item x="6"/>
        <item x="35"/>
        <item x="4"/>
        <item x="12"/>
        <item x="2"/>
        <item x="0"/>
        <item x="25"/>
        <item x="13"/>
        <item x="15"/>
        <item x="14"/>
        <item x="5"/>
        <item x="17"/>
        <item x="30"/>
        <item x="21"/>
        <item x="7"/>
        <item x="18"/>
        <item x="9"/>
        <item x="3"/>
        <item x="16"/>
        <item x="29"/>
        <item x="31"/>
        <item x="28"/>
        <item x="33"/>
        <item x="1"/>
        <item x="32"/>
        <item x="36"/>
        <item x="20"/>
        <item x="22"/>
        <item x="11"/>
        <item x="39"/>
        <item t="default"/>
      </items>
    </pivotField>
    <pivotField numFmtId="165" showAll="0">
      <items count="42">
        <item x="34"/>
        <item x="37"/>
        <item x="23"/>
        <item x="38"/>
        <item x="10"/>
        <item x="8"/>
        <item x="27"/>
        <item x="19"/>
        <item x="26"/>
        <item x="40"/>
        <item x="24"/>
        <item x="6"/>
        <item x="35"/>
        <item x="4"/>
        <item x="12"/>
        <item x="2"/>
        <item x="0"/>
        <item x="25"/>
        <item x="13"/>
        <item x="15"/>
        <item x="14"/>
        <item x="5"/>
        <item x="17"/>
        <item x="30"/>
        <item x="21"/>
        <item x="7"/>
        <item x="18"/>
        <item x="9"/>
        <item x="3"/>
        <item x="16"/>
        <item x="29"/>
        <item x="31"/>
        <item x="28"/>
        <item x="33"/>
        <item x="1"/>
        <item x="32"/>
        <item x="36"/>
        <item x="20"/>
        <item x="22"/>
        <item x="11"/>
        <item x="39"/>
        <item t="default"/>
      </items>
    </pivotField>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
    <i>
      <x/>
    </i>
    <i t="grand">
      <x/>
    </i>
  </rowItems>
  <colItems count="1">
    <i/>
  </colItems>
  <dataFields count="1">
    <dataField name="Sum of Sales" fld="9" baseField="0" baseItem="0" numFmtId="165"/>
  </dataFields>
  <chartFormats count="3">
    <chartFormat chart="15" format="0"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D4490-08FE-4B93-97A2-B1C3651D3E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5" firstHeaderRow="0" firstDataRow="1" firstDataCol="1"/>
  <pivotFields count="26">
    <pivotField numFmtId="14" showAll="0"/>
    <pivotField showAll="0"/>
    <pivotField axis="axisRow" showAll="0">
      <items count="12">
        <item x="5"/>
        <item x="3"/>
        <item x="8"/>
        <item x="2"/>
        <item x="0"/>
        <item x="1"/>
        <item x="7"/>
        <item x="9"/>
        <item x="10"/>
        <item x="4"/>
        <item x="6"/>
        <item t="default"/>
      </items>
    </pivotField>
    <pivotField showAll="0"/>
    <pivotField showAll="0"/>
    <pivotField numFmtId="165" showAll="0"/>
    <pivotField showAll="0"/>
    <pivotField showAll="0"/>
    <pivotField numFmtId="165" showAll="0"/>
    <pivotField dataField="1" numFmtId="165" showAll="0"/>
    <pivotField dataField="1"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Sales" fld="9" baseField="0" baseItem="0" numFmtId="165"/>
    <dataField name="Sum of Profit" fld="10"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21BAA2-9FFE-4CC6-B33F-F55921DBAC9F}" sourceName="Region">
  <pivotTables>
    <pivotTable tabId="15" name="PivotTable3"/>
  </pivotTables>
  <data>
    <tabular pivotCacheId="1524760096">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5C03391-071E-4A1B-9A78-1A5CCC2A2E2B}" sourceName="Order_Month">
  <pivotTables>
    <pivotTable tabId="15" name="PivotTable3"/>
  </pivotTables>
  <data>
    <tabular pivotCacheId="1524760096">
      <items count="12">
        <i x="0" s="1"/>
        <i x="1"/>
        <i x="2"/>
        <i x="3"/>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2F6AB090-D77B-4980-9CD0-9F2BD3819EDE}" sourceName="Rep">
  <pivotTables>
    <pivotTable tabId="13" name="PivotTable1"/>
  </pivotTables>
  <data>
    <tabular pivotCacheId="1524760096">
      <items count="11">
        <i x="5"/>
        <i x="3" s="1"/>
        <i x="8"/>
        <i x="2"/>
        <i x="0"/>
        <i x="1"/>
        <i x="7"/>
        <i x="9"/>
        <i x="10"/>
        <i x="4"/>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F9F5BAA-CB99-45D0-9926-C5071BD506C4}" sourceName="Order_Year">
  <pivotTables>
    <pivotTable tabId="13" name="PivotTable1"/>
  </pivotTables>
  <data>
    <tabular pivotCacheId="152476009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75C81C-94BA-456C-9100-30B0C3645CFE}" cache="Slicer_Region" caption="Region" style="SlicerStyleLight5" rowHeight="298450"/>
  <slicer name="Order_Month" xr10:uid="{5F65D8D6-22D8-4F04-A546-09B8CB4A3390}" cache="Slicer_Order_Month" caption="Order_Month" style="SlicerStyleLight5" rowHeight="298450"/>
  <slicer name="Rep" xr10:uid="{7DF900DE-DE96-4C7F-B21C-C7C50932AAA0}" cache="Slicer_Rep" caption="Rep" style="SlicerStyleLight5" rowHeight="298450"/>
  <slicer name="Order_Year" xr10:uid="{A87FFF64-EF75-4023-A057-C2CCBDA4BE88}" cache="Slicer_Order_Year" caption="Order_Year" style="SlicerStyleLight5" rowHeight="298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_Data" displayName="Superstore_Data" ref="A1:M44" totalsRowShown="0">
  <autoFilter ref="A1:M44" xr:uid="{00000000-0009-0000-0100-000001000000}"/>
  <tableColumns count="13">
    <tableColumn id="1" xr3:uid="{00000000-0010-0000-0000-000001000000}" name="OrderDate" dataDxfId="8"/>
    <tableColumn id="2" xr3:uid="{00000000-0010-0000-0000-000002000000}" name="Region"/>
    <tableColumn id="3" xr3:uid="{00000000-0010-0000-0000-000003000000}" name="Rep"/>
    <tableColumn id="4" xr3:uid="{00000000-0010-0000-0000-000004000000}" name="Item"/>
    <tableColumn id="5" xr3:uid="{00000000-0010-0000-0000-000005000000}" name="Units"/>
    <tableColumn id="6" xr3:uid="{00000000-0010-0000-0000-000006000000}" name="Unit Cost" dataDxfId="7"/>
    <tableColumn id="9" xr3:uid="{E1958FC0-06CA-48F3-946C-84005255EB70}" name="Order_Year" dataDxfId="6" dataCellStyle="Comma">
      <calculatedColumnFormula>TEXT(Superstore_Data[[#This Row],[OrderDate]],"yyyy")</calculatedColumnFormula>
    </tableColumn>
    <tableColumn id="10" xr3:uid="{19AF9F9D-B85B-4BAB-A51B-3C9031EA3436}" name="Order_Month" dataDxfId="5" dataCellStyle="Comma">
      <calculatedColumnFormula>TEXT(Superstore_Data[[#This Row],[OrderDate]],"mmmm")</calculatedColumnFormula>
    </tableColumn>
    <tableColumn id="14" xr3:uid="{66EC4BF2-5AAF-4439-BF2E-0B4703F04F2A}" name="SellingPrice" dataDxfId="4" dataCellStyle="Comma">
      <calculatedColumnFormula>Superstore_Data[[#This Row],[Unit Cost]] * 1.3</calculatedColumnFormula>
    </tableColumn>
    <tableColumn id="15" xr3:uid="{459B9874-4B40-49A5-8BD6-1C08BA6DC0D2}" name="Sales" dataDxfId="3" dataCellStyle="Comma">
      <calculatedColumnFormula>Superstore_Data[[#This Row],[Units]] * Superstore_Data[[#This Row],[SellingPrice]]</calculatedColumnFormula>
    </tableColumn>
    <tableColumn id="16" xr3:uid="{6981D66B-6050-4DE7-9ACB-F9B1A98ABCA9}" name="Profit" dataDxfId="2" dataCellStyle="Comma">
      <calculatedColumnFormula>(Superstore_Data[[#This Row],[SellingPrice]] - Superstore_Data[[#This Row],[Unit Cost]]) * Superstore_Data[[#This Row],[Units]]</calculatedColumnFormula>
    </tableColumn>
    <tableColumn id="17" xr3:uid="{91E825E6-EE5C-44FD-B8E3-8F271E905729}" name="ProfitPercentage" dataDxfId="1" dataCellStyle="Comma">
      <calculatedColumnFormula>Superstore_Data[[#This Row],[Profit]]/Superstore_Data[[#This Row],[Sales]]</calculatedColumnFormula>
    </tableColumn>
    <tableColumn id="7" xr3:uid="{00000000-0010-0000-0000-000007000000}" name="Total"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3D09-D385-46BE-A003-D016C857208B}">
  <dimension ref="A3:C5"/>
  <sheetViews>
    <sheetView topLeftCell="J1" workbookViewId="0">
      <selection activeCell="N33" sqref="N33"/>
    </sheetView>
  </sheetViews>
  <sheetFormatPr defaultRowHeight="18" x14ac:dyDescent="0.35"/>
  <cols>
    <col min="1" max="1" width="11.33203125" bestFit="1" customWidth="1"/>
    <col min="2" max="2" width="10.75" bestFit="1" customWidth="1"/>
    <col min="3" max="3" width="11.08203125" bestFit="1" customWidth="1"/>
  </cols>
  <sheetData>
    <row r="3" spans="1:3" x14ac:dyDescent="0.35">
      <c r="A3" s="12" t="s">
        <v>32</v>
      </c>
      <c r="B3" t="s">
        <v>35</v>
      </c>
      <c r="C3" t="s">
        <v>36</v>
      </c>
    </row>
    <row r="4" spans="1:3" x14ac:dyDescent="0.35">
      <c r="A4" s="9" t="s">
        <v>33</v>
      </c>
      <c r="B4" s="14">
        <v>701.649</v>
      </c>
      <c r="C4" s="14">
        <v>161.91899999999998</v>
      </c>
    </row>
    <row r="5" spans="1:3" x14ac:dyDescent="0.35">
      <c r="A5" s="9" t="s">
        <v>34</v>
      </c>
      <c r="B5" s="14">
        <v>701.649</v>
      </c>
      <c r="C5" s="14">
        <v>161.91899999999998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A7DF7-C072-4D99-9B63-AB9BBB8A04E8}">
  <dimension ref="A3:C7"/>
  <sheetViews>
    <sheetView workbookViewId="0">
      <selection activeCell="B20" sqref="B20"/>
    </sheetView>
  </sheetViews>
  <sheetFormatPr defaultRowHeight="18" x14ac:dyDescent="0.35"/>
  <cols>
    <col min="1" max="1" width="11.33203125" bestFit="1" customWidth="1"/>
    <col min="2" max="2" width="10.75" bestFit="1" customWidth="1"/>
    <col min="3" max="3" width="11.08203125" bestFit="1" customWidth="1"/>
  </cols>
  <sheetData>
    <row r="3" spans="1:3" x14ac:dyDescent="0.35">
      <c r="A3" s="12" t="s">
        <v>32</v>
      </c>
      <c r="B3" t="s">
        <v>35</v>
      </c>
      <c r="C3" t="s">
        <v>36</v>
      </c>
    </row>
    <row r="4" spans="1:3" x14ac:dyDescent="0.35">
      <c r="A4" s="9" t="s">
        <v>23</v>
      </c>
      <c r="B4" s="14">
        <v>14480.791000000001</v>
      </c>
      <c r="C4" s="14">
        <v>3341.721</v>
      </c>
    </row>
    <row r="5" spans="1:3" x14ac:dyDescent="0.35">
      <c r="A5" s="9" t="s">
        <v>25</v>
      </c>
      <c r="B5" s="14">
        <v>7802.7170000000015</v>
      </c>
      <c r="C5" s="14">
        <v>1800.6270000000004</v>
      </c>
    </row>
    <row r="6" spans="1:3" x14ac:dyDescent="0.35">
      <c r="A6" s="9" t="s">
        <v>24</v>
      </c>
      <c r="B6" s="14">
        <v>3232.7359999999999</v>
      </c>
      <c r="C6" s="14">
        <v>746.01600000000008</v>
      </c>
    </row>
    <row r="7" spans="1:3" x14ac:dyDescent="0.35">
      <c r="A7" s="9" t="s">
        <v>34</v>
      </c>
      <c r="B7" s="14">
        <v>25516.244000000002</v>
      </c>
      <c r="C7" s="14">
        <v>5888.3639999999996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EF99-73D3-4B07-9A63-41DBA48DEA6E}">
  <dimension ref="A3:B5"/>
  <sheetViews>
    <sheetView workbookViewId="0">
      <selection activeCell="G33" sqref="G33"/>
    </sheetView>
  </sheetViews>
  <sheetFormatPr defaultRowHeight="18" x14ac:dyDescent="0.35"/>
  <cols>
    <col min="1" max="1" width="11.33203125" bestFit="1" customWidth="1"/>
    <col min="2" max="2" width="10.75" bestFit="1" customWidth="1"/>
  </cols>
  <sheetData>
    <row r="3" spans="1:2" x14ac:dyDescent="0.35">
      <c r="A3" s="12" t="s">
        <v>32</v>
      </c>
      <c r="B3" t="s">
        <v>35</v>
      </c>
    </row>
    <row r="4" spans="1:2" x14ac:dyDescent="0.35">
      <c r="A4" s="9" t="s">
        <v>37</v>
      </c>
      <c r="B4" s="13">
        <v>1836.952</v>
      </c>
    </row>
    <row r="5" spans="1:2" x14ac:dyDescent="0.35">
      <c r="A5" s="9" t="s">
        <v>34</v>
      </c>
      <c r="B5" s="13">
        <v>1836.952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DE2D-D4F8-4473-95FB-3BC699415A93}">
  <dimension ref="A3:C15"/>
  <sheetViews>
    <sheetView zoomScale="99" workbookViewId="0">
      <selection activeCell="H6" sqref="H6"/>
    </sheetView>
  </sheetViews>
  <sheetFormatPr defaultRowHeight="18" x14ac:dyDescent="0.35"/>
  <cols>
    <col min="1" max="1" width="11.4140625" bestFit="1" customWidth="1"/>
    <col min="2" max="2" width="10.83203125" bestFit="1" customWidth="1"/>
    <col min="3" max="3" width="11.1640625" bestFit="1" customWidth="1"/>
  </cols>
  <sheetData>
    <row r="3" spans="1:3" x14ac:dyDescent="0.35">
      <c r="A3" s="12" t="s">
        <v>32</v>
      </c>
      <c r="B3" t="s">
        <v>35</v>
      </c>
      <c r="C3" t="s">
        <v>36</v>
      </c>
    </row>
    <row r="4" spans="1:3" x14ac:dyDescent="0.35">
      <c r="A4" s="9" t="s">
        <v>18</v>
      </c>
      <c r="B4" s="13">
        <v>569.88100000000009</v>
      </c>
      <c r="C4" s="13">
        <v>131.51100000000002</v>
      </c>
    </row>
    <row r="5" spans="1:3" x14ac:dyDescent="0.35">
      <c r="A5" s="9" t="s">
        <v>5</v>
      </c>
      <c r="B5" s="13">
        <v>2274.8310000000006</v>
      </c>
      <c r="C5" s="13">
        <v>524.96100000000001</v>
      </c>
    </row>
    <row r="6" spans="1:3" x14ac:dyDescent="0.35">
      <c r="A6" s="9" t="s">
        <v>11</v>
      </c>
      <c r="B6" s="13">
        <v>697.77499999999998</v>
      </c>
      <c r="C6" s="13">
        <v>161.02500000000001</v>
      </c>
    </row>
    <row r="7" spans="1:3" x14ac:dyDescent="0.35">
      <c r="A7" s="9" t="s">
        <v>6</v>
      </c>
      <c r="B7" s="13">
        <v>3655.8469999999998</v>
      </c>
      <c r="C7" s="13">
        <v>843.65699999999993</v>
      </c>
    </row>
    <row r="8" spans="1:3" x14ac:dyDescent="0.35">
      <c r="A8" s="9" t="s">
        <v>7</v>
      </c>
      <c r="B8" s="13">
        <v>3071.9520000000002</v>
      </c>
      <c r="C8" s="13">
        <v>708.91200000000015</v>
      </c>
    </row>
    <row r="9" spans="1:3" x14ac:dyDescent="0.35">
      <c r="A9" s="9" t="s">
        <v>8</v>
      </c>
      <c r="B9" s="13">
        <v>4042.2719999999999</v>
      </c>
      <c r="C9" s="13">
        <v>932.83200000000011</v>
      </c>
    </row>
    <row r="10" spans="1:3" x14ac:dyDescent="0.35">
      <c r="A10" s="9" t="s">
        <v>12</v>
      </c>
      <c r="B10" s="13">
        <v>1804.1010000000001</v>
      </c>
      <c r="C10" s="13">
        <v>416.33100000000013</v>
      </c>
    </row>
    <row r="11" spans="1:3" x14ac:dyDescent="0.35">
      <c r="A11" s="9" t="s">
        <v>19</v>
      </c>
      <c r="B11" s="13">
        <v>4032.99</v>
      </c>
      <c r="C11" s="13">
        <v>930.69000000000017</v>
      </c>
    </row>
    <row r="12" spans="1:3" x14ac:dyDescent="0.35">
      <c r="A12" s="9" t="s">
        <v>10</v>
      </c>
      <c r="B12" s="13">
        <v>2133.8589999999999</v>
      </c>
      <c r="C12" s="13">
        <v>492.42899999999997</v>
      </c>
    </row>
    <row r="13" spans="1:3" x14ac:dyDescent="0.35">
      <c r="A13" s="9" t="s">
        <v>13</v>
      </c>
      <c r="B13" s="13">
        <v>1668.6930000000002</v>
      </c>
      <c r="C13" s="13">
        <v>385.08300000000003</v>
      </c>
    </row>
    <row r="14" spans="1:3" x14ac:dyDescent="0.35">
      <c r="A14" s="9" t="s">
        <v>9</v>
      </c>
      <c r="B14" s="13">
        <v>1564.0430000000001</v>
      </c>
      <c r="C14" s="13">
        <v>360.93299999999999</v>
      </c>
    </row>
    <row r="15" spans="1:3" x14ac:dyDescent="0.35">
      <c r="A15" s="9" t="s">
        <v>34</v>
      </c>
      <c r="B15" s="13">
        <v>25516.244000000002</v>
      </c>
      <c r="C15" s="13">
        <v>5888.3640000000005</v>
      </c>
    </row>
  </sheetData>
  <sortState xmlns:xlrd2="http://schemas.microsoft.com/office/spreadsheetml/2017/richdata2" columnSort="1" ref="A3:C15">
    <sortCondition descending="1" ref="B3"/>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M44"/>
  <sheetViews>
    <sheetView showGridLines="0" tabSelected="1" zoomScaleNormal="100" workbookViewId="0">
      <pane ySplit="1" topLeftCell="A2" activePane="bottomLeft" state="frozen"/>
      <selection pane="bottomLeft" activeCell="A2" sqref="A2"/>
    </sheetView>
  </sheetViews>
  <sheetFormatPr defaultColWidth="9.08203125" defaultRowHeight="14.4" x14ac:dyDescent="0.35"/>
  <cols>
    <col min="1" max="1" width="11.58203125" style="1" customWidth="1"/>
    <col min="2" max="2" width="8.6640625" style="1" customWidth="1"/>
    <col min="3" max="3" width="9.58203125" style="1" customWidth="1"/>
    <col min="4" max="4" width="7.6640625" style="1" customWidth="1"/>
    <col min="5" max="5" width="7.33203125" style="2" customWidth="1"/>
    <col min="6" max="12" width="10.58203125" style="1" customWidth="1"/>
    <col min="13" max="13" width="10.08203125" style="1" customWidth="1"/>
    <col min="14" max="16384" width="9.08203125" style="1"/>
  </cols>
  <sheetData>
    <row r="1" spans="1:13" ht="18" x14ac:dyDescent="0.35">
      <c r="A1" s="3" t="s">
        <v>22</v>
      </c>
      <c r="B1" s="4" t="s">
        <v>0</v>
      </c>
      <c r="C1" s="4" t="s">
        <v>1</v>
      </c>
      <c r="D1" s="5" t="s">
        <v>2</v>
      </c>
      <c r="E1" s="6" t="s">
        <v>3</v>
      </c>
      <c r="F1" s="5" t="s">
        <v>14</v>
      </c>
      <c r="G1" s="5" t="s">
        <v>26</v>
      </c>
      <c r="H1" s="5" t="s">
        <v>27</v>
      </c>
      <c r="I1" s="5" t="s">
        <v>30</v>
      </c>
      <c r="J1" s="5" t="s">
        <v>28</v>
      </c>
      <c r="K1" s="5" t="s">
        <v>29</v>
      </c>
      <c r="L1" s="5" t="s">
        <v>31</v>
      </c>
      <c r="M1" s="5" t="s">
        <v>4</v>
      </c>
    </row>
    <row r="2" spans="1:13" ht="18" x14ac:dyDescent="0.35">
      <c r="A2" s="11">
        <v>45297</v>
      </c>
      <c r="B2" s="7" t="s">
        <v>25</v>
      </c>
      <c r="C2" s="7" t="s">
        <v>7</v>
      </c>
      <c r="D2" s="5" t="s">
        <v>15</v>
      </c>
      <c r="E2" s="8">
        <v>95</v>
      </c>
      <c r="F2" s="10">
        <v>1.99</v>
      </c>
      <c r="G2" s="10" t="str">
        <f>TEXT(Superstore_Data[[#This Row],[OrderDate]],"yyyy")</f>
        <v>2024</v>
      </c>
      <c r="H2" s="10" t="str">
        <f>TEXT(Superstore_Data[[#This Row],[OrderDate]],"mmmm")</f>
        <v>January</v>
      </c>
      <c r="I2" s="10">
        <f>Superstore_Data[[#This Row],[Unit Cost]] * 1.3</f>
        <v>2.5870000000000002</v>
      </c>
      <c r="J2" s="10">
        <f>Superstore_Data[[#This Row],[Units]] * Superstore_Data[[#This Row],[SellingPrice]]</f>
        <v>245.76500000000001</v>
      </c>
      <c r="K2" s="10">
        <f>(Superstore_Data[[#This Row],[SellingPrice]] - Superstore_Data[[#This Row],[Unit Cost]]) * Superstore_Data[[#This Row],[Units]]</f>
        <v>56.715000000000018</v>
      </c>
      <c r="L2" s="10">
        <f>Superstore_Data[[#This Row],[Profit]]/Superstore_Data[[#This Row],[Sales]]</f>
        <v>0.23076923076923084</v>
      </c>
      <c r="M2" s="10">
        <v>189.05</v>
      </c>
    </row>
    <row r="3" spans="1:13" ht="18" x14ac:dyDescent="0.35">
      <c r="A3" s="11">
        <v>45314</v>
      </c>
      <c r="B3" s="7" t="s">
        <v>23</v>
      </c>
      <c r="C3" s="7" t="s">
        <v>8</v>
      </c>
      <c r="D3" s="5" t="s">
        <v>16</v>
      </c>
      <c r="E3" s="8">
        <v>50</v>
      </c>
      <c r="F3" s="10">
        <v>19.989999999999998</v>
      </c>
      <c r="G3" s="10" t="str">
        <f>TEXT(Superstore_Data[[#This Row],[OrderDate]],"yyyy")</f>
        <v>2024</v>
      </c>
      <c r="H3" s="10" t="str">
        <f>TEXT(Superstore_Data[[#This Row],[OrderDate]],"mmmm")</f>
        <v>January</v>
      </c>
      <c r="I3" s="10">
        <f>Superstore_Data[[#This Row],[Unit Cost]] * 1.3</f>
        <v>25.986999999999998</v>
      </c>
      <c r="J3" s="10">
        <f>Superstore_Data[[#This Row],[Units]] * Superstore_Data[[#This Row],[SellingPrice]]</f>
        <v>1299.3499999999999</v>
      </c>
      <c r="K3" s="10">
        <f>(Superstore_Data[[#This Row],[SellingPrice]] - Superstore_Data[[#This Row],[Unit Cost]]) * Superstore_Data[[#This Row],[Units]]</f>
        <v>299.85000000000002</v>
      </c>
      <c r="L3" s="10">
        <f>Superstore_Data[[#This Row],[Profit]]/Superstore_Data[[#This Row],[Sales]]</f>
        <v>0.23076923076923081</v>
      </c>
      <c r="M3" s="10">
        <v>999.49999999999989</v>
      </c>
    </row>
    <row r="4" spans="1:13" ht="18" x14ac:dyDescent="0.35">
      <c r="A4" s="11">
        <v>45331</v>
      </c>
      <c r="B4" s="7" t="s">
        <v>23</v>
      </c>
      <c r="C4" s="7" t="s">
        <v>6</v>
      </c>
      <c r="D4" s="5" t="s">
        <v>15</v>
      </c>
      <c r="E4" s="8">
        <v>36</v>
      </c>
      <c r="F4" s="10">
        <v>4.99</v>
      </c>
      <c r="G4" s="10" t="str">
        <f>TEXT(Superstore_Data[[#This Row],[OrderDate]],"yyyy")</f>
        <v>2024</v>
      </c>
      <c r="H4" s="10" t="str">
        <f>TEXT(Superstore_Data[[#This Row],[OrderDate]],"mmmm")</f>
        <v>February</v>
      </c>
      <c r="I4" s="10">
        <f>Superstore_Data[[#This Row],[Unit Cost]] * 1.3</f>
        <v>6.4870000000000001</v>
      </c>
      <c r="J4" s="10">
        <f>Superstore_Data[[#This Row],[Units]] * Superstore_Data[[#This Row],[SellingPrice]]</f>
        <v>233.53200000000001</v>
      </c>
      <c r="K4" s="10">
        <f>(Superstore_Data[[#This Row],[SellingPrice]] - Superstore_Data[[#This Row],[Unit Cost]]) * Superstore_Data[[#This Row],[Units]]</f>
        <v>53.891999999999996</v>
      </c>
      <c r="L4" s="10">
        <f>Superstore_Data[[#This Row],[Profit]]/Superstore_Data[[#This Row],[Sales]]</f>
        <v>0.23076923076923075</v>
      </c>
      <c r="M4" s="10">
        <v>179.64000000000001</v>
      </c>
    </row>
    <row r="5" spans="1:13" ht="18" x14ac:dyDescent="0.35">
      <c r="A5" s="11">
        <v>45348</v>
      </c>
      <c r="B5" s="7" t="s">
        <v>23</v>
      </c>
      <c r="C5" s="7" t="s">
        <v>5</v>
      </c>
      <c r="D5" s="5" t="s">
        <v>17</v>
      </c>
      <c r="E5" s="8">
        <v>27</v>
      </c>
      <c r="F5" s="10">
        <v>19.989999999999998</v>
      </c>
      <c r="G5" s="10" t="str">
        <f>TEXT(Superstore_Data[[#This Row],[OrderDate]],"yyyy")</f>
        <v>2024</v>
      </c>
      <c r="H5" s="10" t="str">
        <f>TEXT(Superstore_Data[[#This Row],[OrderDate]],"mmmm")</f>
        <v>February</v>
      </c>
      <c r="I5" s="10">
        <f>Superstore_Data[[#This Row],[Unit Cost]] * 1.3</f>
        <v>25.986999999999998</v>
      </c>
      <c r="J5" s="10">
        <f>Superstore_Data[[#This Row],[Units]] * Superstore_Data[[#This Row],[SellingPrice]]</f>
        <v>701.649</v>
      </c>
      <c r="K5" s="10">
        <f>(Superstore_Data[[#This Row],[SellingPrice]] - Superstore_Data[[#This Row],[Unit Cost]]) * Superstore_Data[[#This Row],[Units]]</f>
        <v>161.91899999999998</v>
      </c>
      <c r="L5" s="10">
        <f>Superstore_Data[[#This Row],[Profit]]/Superstore_Data[[#This Row],[Sales]]</f>
        <v>0.23076923076923075</v>
      </c>
      <c r="M5" s="10">
        <v>539.7299999999999</v>
      </c>
    </row>
    <row r="6" spans="1:13" ht="18" x14ac:dyDescent="0.35">
      <c r="A6" s="11">
        <v>45366</v>
      </c>
      <c r="B6" s="7" t="s">
        <v>24</v>
      </c>
      <c r="C6" s="7" t="s">
        <v>13</v>
      </c>
      <c r="D6" s="5" t="s">
        <v>15</v>
      </c>
      <c r="E6" s="8">
        <v>56</v>
      </c>
      <c r="F6" s="10">
        <v>2.99</v>
      </c>
      <c r="G6" s="10" t="str">
        <f>TEXT(Superstore_Data[[#This Row],[OrderDate]],"yyyy")</f>
        <v>2024</v>
      </c>
      <c r="H6" s="10" t="str">
        <f>TEXT(Superstore_Data[[#This Row],[OrderDate]],"mmmm")</f>
        <v>March</v>
      </c>
      <c r="I6" s="10">
        <f>Superstore_Data[[#This Row],[Unit Cost]] * 1.3</f>
        <v>3.8870000000000005</v>
      </c>
      <c r="J6" s="10">
        <f>Superstore_Data[[#This Row],[Units]] * Superstore_Data[[#This Row],[SellingPrice]]</f>
        <v>217.67200000000003</v>
      </c>
      <c r="K6" s="10">
        <f>(Superstore_Data[[#This Row],[SellingPrice]] - Superstore_Data[[#This Row],[Unit Cost]]) * Superstore_Data[[#This Row],[Units]]</f>
        <v>50.232000000000014</v>
      </c>
      <c r="L6" s="10">
        <f>Superstore_Data[[#This Row],[Profit]]/Superstore_Data[[#This Row],[Sales]]</f>
        <v>0.23076923076923081</v>
      </c>
      <c r="M6" s="10">
        <v>167.44</v>
      </c>
    </row>
    <row r="7" spans="1:13" ht="18" x14ac:dyDescent="0.35">
      <c r="A7" s="11">
        <v>45383</v>
      </c>
      <c r="B7" s="7" t="s">
        <v>25</v>
      </c>
      <c r="C7" s="7" t="s">
        <v>7</v>
      </c>
      <c r="D7" s="5" t="s">
        <v>16</v>
      </c>
      <c r="E7" s="8">
        <v>60</v>
      </c>
      <c r="F7" s="10">
        <v>4.99</v>
      </c>
      <c r="G7" s="10" t="str">
        <f>TEXT(Superstore_Data[[#This Row],[OrderDate]],"yyyy")</f>
        <v>2024</v>
      </c>
      <c r="H7" s="10" t="str">
        <f>TEXT(Superstore_Data[[#This Row],[OrderDate]],"mmmm")</f>
        <v>April</v>
      </c>
      <c r="I7" s="10">
        <f>Superstore_Data[[#This Row],[Unit Cost]] * 1.3</f>
        <v>6.4870000000000001</v>
      </c>
      <c r="J7" s="10">
        <f>Superstore_Data[[#This Row],[Units]] * Superstore_Data[[#This Row],[SellingPrice]]</f>
        <v>389.22</v>
      </c>
      <c r="K7" s="10">
        <f>(Superstore_Data[[#This Row],[SellingPrice]] - Superstore_Data[[#This Row],[Unit Cost]]) * Superstore_Data[[#This Row],[Units]]</f>
        <v>89.82</v>
      </c>
      <c r="L7" s="10">
        <f>Superstore_Data[[#This Row],[Profit]]/Superstore_Data[[#This Row],[Sales]]</f>
        <v>0.23076923076923073</v>
      </c>
      <c r="M7" s="10">
        <v>299.40000000000003</v>
      </c>
    </row>
    <row r="8" spans="1:13" ht="18" x14ac:dyDescent="0.35">
      <c r="A8" s="11">
        <v>45400</v>
      </c>
      <c r="B8" s="7" t="s">
        <v>23</v>
      </c>
      <c r="C8" s="7" t="s">
        <v>18</v>
      </c>
      <c r="D8" s="5" t="s">
        <v>15</v>
      </c>
      <c r="E8" s="8">
        <v>75</v>
      </c>
      <c r="F8" s="10">
        <v>1.99</v>
      </c>
      <c r="G8" s="10" t="str">
        <f>TEXT(Superstore_Data[[#This Row],[OrderDate]],"yyyy")</f>
        <v>2024</v>
      </c>
      <c r="H8" s="10" t="str">
        <f>TEXT(Superstore_Data[[#This Row],[OrderDate]],"mmmm")</f>
        <v>April</v>
      </c>
      <c r="I8" s="10">
        <f>Superstore_Data[[#This Row],[Unit Cost]] * 1.3</f>
        <v>2.5870000000000002</v>
      </c>
      <c r="J8" s="10">
        <f>Superstore_Data[[#This Row],[Units]] * Superstore_Data[[#This Row],[SellingPrice]]</f>
        <v>194.02500000000001</v>
      </c>
      <c r="K8" s="10">
        <f>(Superstore_Data[[#This Row],[SellingPrice]] - Superstore_Data[[#This Row],[Unit Cost]]) * Superstore_Data[[#This Row],[Units]]</f>
        <v>44.775000000000013</v>
      </c>
      <c r="L8" s="10">
        <f>Superstore_Data[[#This Row],[Profit]]/Superstore_Data[[#This Row],[Sales]]</f>
        <v>0.23076923076923084</v>
      </c>
      <c r="M8" s="10">
        <v>149.25</v>
      </c>
    </row>
    <row r="9" spans="1:13" ht="18" x14ac:dyDescent="0.35">
      <c r="A9" s="11">
        <v>45417</v>
      </c>
      <c r="B9" s="7" t="s">
        <v>23</v>
      </c>
      <c r="C9" s="7" t="s">
        <v>6</v>
      </c>
      <c r="D9" s="5" t="s">
        <v>15</v>
      </c>
      <c r="E9" s="8">
        <v>90</v>
      </c>
      <c r="F9" s="10">
        <v>4.99</v>
      </c>
      <c r="G9" s="10" t="str">
        <f>TEXT(Superstore_Data[[#This Row],[OrderDate]],"yyyy")</f>
        <v>2024</v>
      </c>
      <c r="H9" s="10" t="str">
        <f>TEXT(Superstore_Data[[#This Row],[OrderDate]],"mmmm")</f>
        <v>May</v>
      </c>
      <c r="I9" s="10">
        <f>Superstore_Data[[#This Row],[Unit Cost]] * 1.3</f>
        <v>6.4870000000000001</v>
      </c>
      <c r="J9" s="10">
        <f>Superstore_Data[[#This Row],[Units]] * Superstore_Data[[#This Row],[SellingPrice]]</f>
        <v>583.83000000000004</v>
      </c>
      <c r="K9" s="10">
        <f>(Superstore_Data[[#This Row],[SellingPrice]] - Superstore_Data[[#This Row],[Unit Cost]]) * Superstore_Data[[#This Row],[Units]]</f>
        <v>134.72999999999999</v>
      </c>
      <c r="L9" s="10">
        <f>Superstore_Data[[#This Row],[Profit]]/Superstore_Data[[#This Row],[Sales]]</f>
        <v>0.23076923076923073</v>
      </c>
      <c r="M9" s="10">
        <v>449.1</v>
      </c>
    </row>
    <row r="10" spans="1:13" ht="18" x14ac:dyDescent="0.35">
      <c r="A10" s="11">
        <v>45434</v>
      </c>
      <c r="B10" s="7" t="s">
        <v>24</v>
      </c>
      <c r="C10" s="7" t="s">
        <v>9</v>
      </c>
      <c r="D10" s="5" t="s">
        <v>15</v>
      </c>
      <c r="E10" s="8">
        <v>32</v>
      </c>
      <c r="F10" s="10">
        <v>1.99</v>
      </c>
      <c r="G10" s="10" t="str">
        <f>TEXT(Superstore_Data[[#This Row],[OrderDate]],"yyyy")</f>
        <v>2024</v>
      </c>
      <c r="H10" s="10" t="str">
        <f>TEXT(Superstore_Data[[#This Row],[OrderDate]],"mmmm")</f>
        <v>May</v>
      </c>
      <c r="I10" s="10">
        <f>Superstore_Data[[#This Row],[Unit Cost]] * 1.3</f>
        <v>2.5870000000000002</v>
      </c>
      <c r="J10" s="10">
        <f>Superstore_Data[[#This Row],[Units]] * Superstore_Data[[#This Row],[SellingPrice]]</f>
        <v>82.784000000000006</v>
      </c>
      <c r="K10" s="10">
        <f>(Superstore_Data[[#This Row],[SellingPrice]] - Superstore_Data[[#This Row],[Unit Cost]]) * Superstore_Data[[#This Row],[Units]]</f>
        <v>19.104000000000006</v>
      </c>
      <c r="L10" s="10">
        <f>Superstore_Data[[#This Row],[Profit]]/Superstore_Data[[#This Row],[Sales]]</f>
        <v>0.23076923076923084</v>
      </c>
      <c r="M10" s="10">
        <v>63.68</v>
      </c>
    </row>
    <row r="11" spans="1:13" ht="18" x14ac:dyDescent="0.35">
      <c r="A11" s="11">
        <v>45451</v>
      </c>
      <c r="B11" s="7" t="s">
        <v>25</v>
      </c>
      <c r="C11" s="7" t="s">
        <v>7</v>
      </c>
      <c r="D11" s="5" t="s">
        <v>16</v>
      </c>
      <c r="E11" s="8">
        <v>60</v>
      </c>
      <c r="F11" s="10">
        <v>8.99</v>
      </c>
      <c r="G11" s="10" t="str">
        <f>TEXT(Superstore_Data[[#This Row],[OrderDate]],"yyyy")</f>
        <v>2024</v>
      </c>
      <c r="H11" s="10" t="str">
        <f>TEXT(Superstore_Data[[#This Row],[OrderDate]],"mmmm")</f>
        <v>June</v>
      </c>
      <c r="I11" s="10">
        <f>Superstore_Data[[#This Row],[Unit Cost]] * 1.3</f>
        <v>11.687000000000001</v>
      </c>
      <c r="J11" s="10">
        <f>Superstore_Data[[#This Row],[Units]] * Superstore_Data[[#This Row],[SellingPrice]]</f>
        <v>701.22</v>
      </c>
      <c r="K11" s="10">
        <f>(Superstore_Data[[#This Row],[SellingPrice]] - Superstore_Data[[#This Row],[Unit Cost]]) * Superstore_Data[[#This Row],[Units]]</f>
        <v>161.82000000000005</v>
      </c>
      <c r="L11" s="10">
        <f>Superstore_Data[[#This Row],[Profit]]/Superstore_Data[[#This Row],[Sales]]</f>
        <v>0.23076923076923084</v>
      </c>
      <c r="M11" s="10">
        <v>539.4</v>
      </c>
    </row>
    <row r="12" spans="1:13" ht="18" x14ac:dyDescent="0.35">
      <c r="A12" s="11">
        <v>45468</v>
      </c>
      <c r="B12" s="7" t="s">
        <v>23</v>
      </c>
      <c r="C12" s="7" t="s">
        <v>12</v>
      </c>
      <c r="D12" s="5" t="s">
        <v>15</v>
      </c>
      <c r="E12" s="8">
        <v>90</v>
      </c>
      <c r="F12" s="10">
        <v>4.99</v>
      </c>
      <c r="G12" s="10" t="str">
        <f>TEXT(Superstore_Data[[#This Row],[OrderDate]],"yyyy")</f>
        <v>2024</v>
      </c>
      <c r="H12" s="10" t="str">
        <f>TEXT(Superstore_Data[[#This Row],[OrderDate]],"mmmm")</f>
        <v>June</v>
      </c>
      <c r="I12" s="10">
        <f>Superstore_Data[[#This Row],[Unit Cost]] * 1.3</f>
        <v>6.4870000000000001</v>
      </c>
      <c r="J12" s="10">
        <f>Superstore_Data[[#This Row],[Units]] * Superstore_Data[[#This Row],[SellingPrice]]</f>
        <v>583.83000000000004</v>
      </c>
      <c r="K12" s="10">
        <f>(Superstore_Data[[#This Row],[SellingPrice]] - Superstore_Data[[#This Row],[Unit Cost]]) * Superstore_Data[[#This Row],[Units]]</f>
        <v>134.72999999999999</v>
      </c>
      <c r="L12" s="10">
        <f>Superstore_Data[[#This Row],[Profit]]/Superstore_Data[[#This Row],[Sales]]</f>
        <v>0.23076923076923073</v>
      </c>
      <c r="M12" s="10">
        <v>449.1</v>
      </c>
    </row>
    <row r="13" spans="1:13" ht="18" x14ac:dyDescent="0.35">
      <c r="A13" s="11">
        <v>45485</v>
      </c>
      <c r="B13" s="7" t="s">
        <v>25</v>
      </c>
      <c r="C13" s="7" t="s">
        <v>11</v>
      </c>
      <c r="D13" s="5" t="s">
        <v>16</v>
      </c>
      <c r="E13" s="8">
        <v>29</v>
      </c>
      <c r="F13" s="10">
        <v>1.99</v>
      </c>
      <c r="G13" s="10" t="str">
        <f>TEXT(Superstore_Data[[#This Row],[OrderDate]],"yyyy")</f>
        <v>2024</v>
      </c>
      <c r="H13" s="10" t="str">
        <f>TEXT(Superstore_Data[[#This Row],[OrderDate]],"mmmm")</f>
        <v>July</v>
      </c>
      <c r="I13" s="10">
        <f>Superstore_Data[[#This Row],[Unit Cost]] * 1.3</f>
        <v>2.5870000000000002</v>
      </c>
      <c r="J13" s="10">
        <f>Superstore_Data[[#This Row],[Units]] * Superstore_Data[[#This Row],[SellingPrice]]</f>
        <v>75.02300000000001</v>
      </c>
      <c r="K13" s="10">
        <f>(Superstore_Data[[#This Row],[SellingPrice]] - Superstore_Data[[#This Row],[Unit Cost]]) * Superstore_Data[[#This Row],[Units]]</f>
        <v>17.313000000000006</v>
      </c>
      <c r="L13" s="10">
        <f>Superstore_Data[[#This Row],[Profit]]/Superstore_Data[[#This Row],[Sales]]</f>
        <v>0.23076923076923081</v>
      </c>
      <c r="M13" s="10">
        <v>57.71</v>
      </c>
    </row>
    <row r="14" spans="1:13" ht="18" x14ac:dyDescent="0.35">
      <c r="A14" s="11">
        <v>45502</v>
      </c>
      <c r="B14" s="7" t="s">
        <v>25</v>
      </c>
      <c r="C14" s="7" t="s">
        <v>19</v>
      </c>
      <c r="D14" s="5" t="s">
        <v>16</v>
      </c>
      <c r="E14" s="8">
        <v>81</v>
      </c>
      <c r="F14" s="10">
        <v>19.989999999999998</v>
      </c>
      <c r="G14" s="10" t="str">
        <f>TEXT(Superstore_Data[[#This Row],[OrderDate]],"yyyy")</f>
        <v>2024</v>
      </c>
      <c r="H14" s="10" t="str">
        <f>TEXT(Superstore_Data[[#This Row],[OrderDate]],"mmmm")</f>
        <v>July</v>
      </c>
      <c r="I14" s="10">
        <f>Superstore_Data[[#This Row],[Unit Cost]] * 1.3</f>
        <v>25.986999999999998</v>
      </c>
      <c r="J14" s="10">
        <f>Superstore_Data[[#This Row],[Units]] * Superstore_Data[[#This Row],[SellingPrice]]</f>
        <v>2104.9469999999997</v>
      </c>
      <c r="K14" s="10">
        <f>(Superstore_Data[[#This Row],[SellingPrice]] - Superstore_Data[[#This Row],[Unit Cost]]) * Superstore_Data[[#This Row],[Units]]</f>
        <v>485.75700000000001</v>
      </c>
      <c r="L14" s="10">
        <f>Superstore_Data[[#This Row],[Profit]]/Superstore_Data[[#This Row],[Sales]]</f>
        <v>0.23076923076923081</v>
      </c>
      <c r="M14" s="10">
        <v>1619.1899999999998</v>
      </c>
    </row>
    <row r="15" spans="1:13" ht="18" x14ac:dyDescent="0.35">
      <c r="A15" s="11">
        <v>45519</v>
      </c>
      <c r="B15" s="7" t="s">
        <v>25</v>
      </c>
      <c r="C15" s="7" t="s">
        <v>7</v>
      </c>
      <c r="D15" s="5" t="s">
        <v>15</v>
      </c>
      <c r="E15" s="8">
        <v>35</v>
      </c>
      <c r="F15" s="10">
        <v>4.99</v>
      </c>
      <c r="G15" s="10" t="str">
        <f>TEXT(Superstore_Data[[#This Row],[OrderDate]],"yyyy")</f>
        <v>2024</v>
      </c>
      <c r="H15" s="10" t="str">
        <f>TEXT(Superstore_Data[[#This Row],[OrderDate]],"mmmm")</f>
        <v>August</v>
      </c>
      <c r="I15" s="10">
        <f>Superstore_Data[[#This Row],[Unit Cost]] * 1.3</f>
        <v>6.4870000000000001</v>
      </c>
      <c r="J15" s="10">
        <f>Superstore_Data[[#This Row],[Units]] * Superstore_Data[[#This Row],[SellingPrice]]</f>
        <v>227.04500000000002</v>
      </c>
      <c r="K15" s="10">
        <f>(Superstore_Data[[#This Row],[SellingPrice]] - Superstore_Data[[#This Row],[Unit Cost]]) * Superstore_Data[[#This Row],[Units]]</f>
        <v>52.394999999999996</v>
      </c>
      <c r="L15" s="10">
        <f>Superstore_Data[[#This Row],[Profit]]/Superstore_Data[[#This Row],[Sales]]</f>
        <v>0.23076923076923073</v>
      </c>
      <c r="M15" s="10">
        <v>174.65</v>
      </c>
    </row>
    <row r="16" spans="1:13" ht="18" x14ac:dyDescent="0.35">
      <c r="A16" s="11">
        <v>45536</v>
      </c>
      <c r="B16" s="7" t="s">
        <v>23</v>
      </c>
      <c r="C16" s="7" t="s">
        <v>10</v>
      </c>
      <c r="D16" s="5" t="s">
        <v>20</v>
      </c>
      <c r="E16" s="8">
        <v>2</v>
      </c>
      <c r="F16" s="10">
        <v>125</v>
      </c>
      <c r="G16" s="10" t="str">
        <f>TEXT(Superstore_Data[[#This Row],[OrderDate]],"yyyy")</f>
        <v>2024</v>
      </c>
      <c r="H16" s="10" t="str">
        <f>TEXT(Superstore_Data[[#This Row],[OrderDate]],"mmmm")</f>
        <v>September</v>
      </c>
      <c r="I16" s="10">
        <f>Superstore_Data[[#This Row],[Unit Cost]] * 1.3</f>
        <v>162.5</v>
      </c>
      <c r="J16" s="10">
        <f>Superstore_Data[[#This Row],[Units]] * Superstore_Data[[#This Row],[SellingPrice]]</f>
        <v>325</v>
      </c>
      <c r="K16" s="10">
        <f>(Superstore_Data[[#This Row],[SellingPrice]] - Superstore_Data[[#This Row],[Unit Cost]]) * Superstore_Data[[#This Row],[Units]]</f>
        <v>75</v>
      </c>
      <c r="L16" s="10">
        <f>Superstore_Data[[#This Row],[Profit]]/Superstore_Data[[#This Row],[Sales]]</f>
        <v>0.23076923076923078</v>
      </c>
      <c r="M16" s="10">
        <v>250</v>
      </c>
    </row>
    <row r="17" spans="1:13" ht="18" x14ac:dyDescent="0.35">
      <c r="A17" s="11">
        <v>45553</v>
      </c>
      <c r="B17" s="7" t="s">
        <v>25</v>
      </c>
      <c r="C17" s="7" t="s">
        <v>7</v>
      </c>
      <c r="D17" s="5" t="s">
        <v>21</v>
      </c>
      <c r="E17" s="8">
        <v>16</v>
      </c>
      <c r="F17" s="10">
        <v>15.99</v>
      </c>
      <c r="G17" s="10" t="str">
        <f>TEXT(Superstore_Data[[#This Row],[OrderDate]],"yyyy")</f>
        <v>2024</v>
      </c>
      <c r="H17" s="10" t="str">
        <f>TEXT(Superstore_Data[[#This Row],[OrderDate]],"mmmm")</f>
        <v>September</v>
      </c>
      <c r="I17" s="10">
        <f>Superstore_Data[[#This Row],[Unit Cost]] * 1.3</f>
        <v>20.787000000000003</v>
      </c>
      <c r="J17" s="10">
        <f>Superstore_Data[[#This Row],[Units]] * Superstore_Data[[#This Row],[SellingPrice]]</f>
        <v>332.59200000000004</v>
      </c>
      <c r="K17" s="10">
        <f>(Superstore_Data[[#This Row],[SellingPrice]] - Superstore_Data[[#This Row],[Unit Cost]]) * Superstore_Data[[#This Row],[Units]]</f>
        <v>76.752000000000038</v>
      </c>
      <c r="L17" s="10">
        <f>Superstore_Data[[#This Row],[Profit]]/Superstore_Data[[#This Row],[Sales]]</f>
        <v>0.23076923076923087</v>
      </c>
      <c r="M17" s="10">
        <v>255.84</v>
      </c>
    </row>
    <row r="18" spans="1:13" ht="18" x14ac:dyDescent="0.35">
      <c r="A18" s="11">
        <v>45570</v>
      </c>
      <c r="B18" s="7" t="s">
        <v>23</v>
      </c>
      <c r="C18" s="7" t="s">
        <v>12</v>
      </c>
      <c r="D18" s="5" t="s">
        <v>16</v>
      </c>
      <c r="E18" s="8">
        <v>28</v>
      </c>
      <c r="F18" s="10">
        <v>8.99</v>
      </c>
      <c r="G18" s="10" t="str">
        <f>TEXT(Superstore_Data[[#This Row],[OrderDate]],"yyyy")</f>
        <v>2024</v>
      </c>
      <c r="H18" s="10" t="str">
        <f>TEXT(Superstore_Data[[#This Row],[OrderDate]],"mmmm")</f>
        <v>October</v>
      </c>
      <c r="I18" s="10">
        <f>Superstore_Data[[#This Row],[Unit Cost]] * 1.3</f>
        <v>11.687000000000001</v>
      </c>
      <c r="J18" s="10">
        <f>Superstore_Data[[#This Row],[Units]] * Superstore_Data[[#This Row],[SellingPrice]]</f>
        <v>327.23600000000005</v>
      </c>
      <c r="K18" s="10">
        <f>(Superstore_Data[[#This Row],[SellingPrice]] - Superstore_Data[[#This Row],[Unit Cost]]) * Superstore_Data[[#This Row],[Units]]</f>
        <v>75.51600000000002</v>
      </c>
      <c r="L18" s="10">
        <f>Superstore_Data[[#This Row],[Profit]]/Superstore_Data[[#This Row],[Sales]]</f>
        <v>0.23076923076923081</v>
      </c>
      <c r="M18" s="10">
        <v>251.72</v>
      </c>
    </row>
    <row r="19" spans="1:13" ht="18" x14ac:dyDescent="0.35">
      <c r="A19" s="11">
        <v>45587</v>
      </c>
      <c r="B19" s="7" t="s">
        <v>25</v>
      </c>
      <c r="C19" s="7" t="s">
        <v>7</v>
      </c>
      <c r="D19" s="5" t="s">
        <v>17</v>
      </c>
      <c r="E19" s="8">
        <v>64</v>
      </c>
      <c r="F19" s="10">
        <v>8.99</v>
      </c>
      <c r="G19" s="10" t="str">
        <f>TEXT(Superstore_Data[[#This Row],[OrderDate]],"yyyy")</f>
        <v>2024</v>
      </c>
      <c r="H19" s="10" t="str">
        <f>TEXT(Superstore_Data[[#This Row],[OrderDate]],"mmmm")</f>
        <v>October</v>
      </c>
      <c r="I19" s="10">
        <f>Superstore_Data[[#This Row],[Unit Cost]] * 1.3</f>
        <v>11.687000000000001</v>
      </c>
      <c r="J19" s="10">
        <f>Superstore_Data[[#This Row],[Units]] * Superstore_Data[[#This Row],[SellingPrice]]</f>
        <v>747.96800000000007</v>
      </c>
      <c r="K19" s="10">
        <f>(Superstore_Data[[#This Row],[SellingPrice]] - Superstore_Data[[#This Row],[Unit Cost]]) * Superstore_Data[[#This Row],[Units]]</f>
        <v>172.60800000000006</v>
      </c>
      <c r="L19" s="10">
        <f>Superstore_Data[[#This Row],[Profit]]/Superstore_Data[[#This Row],[Sales]]</f>
        <v>0.23076923076923084</v>
      </c>
      <c r="M19" s="10">
        <v>575.36</v>
      </c>
    </row>
    <row r="20" spans="1:13" ht="18" x14ac:dyDescent="0.35">
      <c r="A20" s="11">
        <v>45604</v>
      </c>
      <c r="B20" s="7" t="s">
        <v>25</v>
      </c>
      <c r="C20" s="7" t="s">
        <v>19</v>
      </c>
      <c r="D20" s="5" t="s">
        <v>17</v>
      </c>
      <c r="E20" s="8">
        <v>15</v>
      </c>
      <c r="F20" s="10">
        <v>19.989999999999998</v>
      </c>
      <c r="G20" s="10" t="str">
        <f>TEXT(Superstore_Data[[#This Row],[OrderDate]],"yyyy")</f>
        <v>2024</v>
      </c>
      <c r="H20" s="10" t="str">
        <f>TEXT(Superstore_Data[[#This Row],[OrderDate]],"mmmm")</f>
        <v>November</v>
      </c>
      <c r="I20" s="10">
        <f>Superstore_Data[[#This Row],[Unit Cost]] * 1.3</f>
        <v>25.986999999999998</v>
      </c>
      <c r="J20" s="10">
        <f>Superstore_Data[[#This Row],[Units]] * Superstore_Data[[#This Row],[SellingPrice]]</f>
        <v>389.80499999999995</v>
      </c>
      <c r="K20" s="10">
        <f>(Superstore_Data[[#This Row],[SellingPrice]] - Superstore_Data[[#This Row],[Unit Cost]]) * Superstore_Data[[#This Row],[Units]]</f>
        <v>89.954999999999998</v>
      </c>
      <c r="L20" s="10">
        <f>Superstore_Data[[#This Row],[Profit]]/Superstore_Data[[#This Row],[Sales]]</f>
        <v>0.23076923076923078</v>
      </c>
      <c r="M20" s="10">
        <v>299.84999999999997</v>
      </c>
    </row>
    <row r="21" spans="1:13" ht="18" x14ac:dyDescent="0.35">
      <c r="A21" s="11">
        <v>45621</v>
      </c>
      <c r="B21" s="7" t="s">
        <v>23</v>
      </c>
      <c r="C21" s="7" t="s">
        <v>8</v>
      </c>
      <c r="D21" s="5" t="s">
        <v>21</v>
      </c>
      <c r="E21" s="8">
        <v>96</v>
      </c>
      <c r="F21" s="10">
        <v>4.99</v>
      </c>
      <c r="G21" s="10" t="str">
        <f>TEXT(Superstore_Data[[#This Row],[OrderDate]],"yyyy")</f>
        <v>2024</v>
      </c>
      <c r="H21" s="10" t="str">
        <f>TEXT(Superstore_Data[[#This Row],[OrderDate]],"mmmm")</f>
        <v>November</v>
      </c>
      <c r="I21" s="10">
        <f>Superstore_Data[[#This Row],[Unit Cost]] * 1.3</f>
        <v>6.4870000000000001</v>
      </c>
      <c r="J21" s="10">
        <f>Superstore_Data[[#This Row],[Units]] * Superstore_Data[[#This Row],[SellingPrice]]</f>
        <v>622.75199999999995</v>
      </c>
      <c r="K21" s="10">
        <f>(Superstore_Data[[#This Row],[SellingPrice]] - Superstore_Data[[#This Row],[Unit Cost]]) * Superstore_Data[[#This Row],[Units]]</f>
        <v>143.71199999999999</v>
      </c>
      <c r="L21" s="10">
        <f>Superstore_Data[[#This Row],[Profit]]/Superstore_Data[[#This Row],[Sales]]</f>
        <v>0.23076923076923078</v>
      </c>
      <c r="M21" s="10">
        <v>479.04</v>
      </c>
    </row>
    <row r="22" spans="1:13" ht="18" x14ac:dyDescent="0.35">
      <c r="A22" s="11">
        <v>45638</v>
      </c>
      <c r="B22" s="7" t="s">
        <v>23</v>
      </c>
      <c r="C22" s="7" t="s">
        <v>10</v>
      </c>
      <c r="D22" s="5" t="s">
        <v>15</v>
      </c>
      <c r="E22" s="8">
        <v>67</v>
      </c>
      <c r="F22" s="10">
        <v>1.29</v>
      </c>
      <c r="G22" s="10" t="str">
        <f>TEXT(Superstore_Data[[#This Row],[OrderDate]],"yyyy")</f>
        <v>2024</v>
      </c>
      <c r="H22" s="10" t="str">
        <f>TEXT(Superstore_Data[[#This Row],[OrderDate]],"mmmm")</f>
        <v>December</v>
      </c>
      <c r="I22" s="10">
        <f>Superstore_Data[[#This Row],[Unit Cost]] * 1.3</f>
        <v>1.677</v>
      </c>
      <c r="J22" s="10">
        <f>Superstore_Data[[#This Row],[Units]] * Superstore_Data[[#This Row],[SellingPrice]]</f>
        <v>112.35900000000001</v>
      </c>
      <c r="K22" s="10">
        <f>(Superstore_Data[[#This Row],[SellingPrice]] - Superstore_Data[[#This Row],[Unit Cost]]) * Superstore_Data[[#This Row],[Units]]</f>
        <v>25.929000000000002</v>
      </c>
      <c r="L22" s="10">
        <f>Superstore_Data[[#This Row],[Profit]]/Superstore_Data[[#This Row],[Sales]]</f>
        <v>0.23076923076923078</v>
      </c>
      <c r="M22" s="10">
        <v>86.43</v>
      </c>
    </row>
    <row r="23" spans="1:13" ht="18" x14ac:dyDescent="0.35">
      <c r="A23" s="11">
        <v>45655</v>
      </c>
      <c r="B23" s="7" t="s">
        <v>25</v>
      </c>
      <c r="C23" s="7" t="s">
        <v>19</v>
      </c>
      <c r="D23" s="5" t="s">
        <v>21</v>
      </c>
      <c r="E23" s="8">
        <v>74</v>
      </c>
      <c r="F23" s="10">
        <v>15.99</v>
      </c>
      <c r="G23" s="10" t="str">
        <f>TEXT(Superstore_Data[[#This Row],[OrderDate]],"yyyy")</f>
        <v>2024</v>
      </c>
      <c r="H23" s="10" t="str">
        <f>TEXT(Superstore_Data[[#This Row],[OrderDate]],"mmmm")</f>
        <v>December</v>
      </c>
      <c r="I23" s="10">
        <f>Superstore_Data[[#This Row],[Unit Cost]] * 1.3</f>
        <v>20.787000000000003</v>
      </c>
      <c r="J23" s="10">
        <f>Superstore_Data[[#This Row],[Units]] * Superstore_Data[[#This Row],[SellingPrice]]</f>
        <v>1538.2380000000003</v>
      </c>
      <c r="K23" s="10">
        <f>(Superstore_Data[[#This Row],[SellingPrice]] - Superstore_Data[[#This Row],[Unit Cost]]) * Superstore_Data[[#This Row],[Units]]</f>
        <v>354.97800000000018</v>
      </c>
      <c r="L23" s="10">
        <f>Superstore_Data[[#This Row],[Profit]]/Superstore_Data[[#This Row],[Sales]]</f>
        <v>0.23076923076923084</v>
      </c>
      <c r="M23" s="10">
        <v>1183.26</v>
      </c>
    </row>
    <row r="24" spans="1:13" ht="18" x14ac:dyDescent="0.35">
      <c r="A24" s="11">
        <v>45672</v>
      </c>
      <c r="B24" s="7" t="s">
        <v>23</v>
      </c>
      <c r="C24" s="7" t="s">
        <v>5</v>
      </c>
      <c r="D24" s="5" t="s">
        <v>16</v>
      </c>
      <c r="E24" s="8">
        <v>46</v>
      </c>
      <c r="F24" s="10">
        <v>8.99</v>
      </c>
      <c r="G24" s="10" t="str">
        <f>TEXT(Superstore_Data[[#This Row],[OrderDate]],"yyyy")</f>
        <v>2025</v>
      </c>
      <c r="H24" s="10" t="str">
        <f>TEXT(Superstore_Data[[#This Row],[OrderDate]],"mmmm")</f>
        <v>January</v>
      </c>
      <c r="I24" s="10">
        <f>Superstore_Data[[#This Row],[Unit Cost]] * 1.3</f>
        <v>11.687000000000001</v>
      </c>
      <c r="J24" s="10">
        <f>Superstore_Data[[#This Row],[Units]] * Superstore_Data[[#This Row],[SellingPrice]]</f>
        <v>537.60200000000009</v>
      </c>
      <c r="K24" s="10">
        <f>(Superstore_Data[[#This Row],[SellingPrice]] - Superstore_Data[[#This Row],[Unit Cost]]) * Superstore_Data[[#This Row],[Units]]</f>
        <v>124.06200000000004</v>
      </c>
      <c r="L24" s="10">
        <f>Superstore_Data[[#This Row],[Profit]]/Superstore_Data[[#This Row],[Sales]]</f>
        <v>0.23076923076923081</v>
      </c>
      <c r="M24" s="10">
        <v>413.54</v>
      </c>
    </row>
    <row r="25" spans="1:13" ht="18" x14ac:dyDescent="0.35">
      <c r="A25" s="11">
        <v>45689</v>
      </c>
      <c r="B25" s="7" t="s">
        <v>23</v>
      </c>
      <c r="C25" s="7" t="s">
        <v>10</v>
      </c>
      <c r="D25" s="5" t="s">
        <v>16</v>
      </c>
      <c r="E25" s="8">
        <v>87</v>
      </c>
      <c r="F25" s="10">
        <v>15</v>
      </c>
      <c r="G25" s="10" t="str">
        <f>TEXT(Superstore_Data[[#This Row],[OrderDate]],"yyyy")</f>
        <v>2025</v>
      </c>
      <c r="H25" s="10" t="str">
        <f>TEXT(Superstore_Data[[#This Row],[OrderDate]],"mmmm")</f>
        <v>February</v>
      </c>
      <c r="I25" s="10">
        <f>Superstore_Data[[#This Row],[Unit Cost]] * 1.3</f>
        <v>19.5</v>
      </c>
      <c r="J25" s="10">
        <f>Superstore_Data[[#This Row],[Units]] * Superstore_Data[[#This Row],[SellingPrice]]</f>
        <v>1696.5</v>
      </c>
      <c r="K25" s="10">
        <f>(Superstore_Data[[#This Row],[SellingPrice]] - Superstore_Data[[#This Row],[Unit Cost]]) * Superstore_Data[[#This Row],[Units]]</f>
        <v>391.5</v>
      </c>
      <c r="L25" s="10">
        <f>Superstore_Data[[#This Row],[Profit]]/Superstore_Data[[#This Row],[Sales]]</f>
        <v>0.23076923076923078</v>
      </c>
      <c r="M25" s="10">
        <v>1305</v>
      </c>
    </row>
    <row r="26" spans="1:13" ht="18" x14ac:dyDescent="0.35">
      <c r="A26" s="11">
        <v>45706</v>
      </c>
      <c r="B26" s="7" t="s">
        <v>25</v>
      </c>
      <c r="C26" s="7" t="s">
        <v>7</v>
      </c>
      <c r="D26" s="5" t="s">
        <v>16</v>
      </c>
      <c r="E26" s="8">
        <v>4</v>
      </c>
      <c r="F26" s="10">
        <v>4.99</v>
      </c>
      <c r="G26" s="10" t="str">
        <f>TEXT(Superstore_Data[[#This Row],[OrderDate]],"yyyy")</f>
        <v>2025</v>
      </c>
      <c r="H26" s="10" t="str">
        <f>TEXT(Superstore_Data[[#This Row],[OrderDate]],"mmmm")</f>
        <v>February</v>
      </c>
      <c r="I26" s="10">
        <f>Superstore_Data[[#This Row],[Unit Cost]] * 1.3</f>
        <v>6.4870000000000001</v>
      </c>
      <c r="J26" s="10">
        <f>Superstore_Data[[#This Row],[Units]] * Superstore_Data[[#This Row],[SellingPrice]]</f>
        <v>25.948</v>
      </c>
      <c r="K26" s="10">
        <f>(Superstore_Data[[#This Row],[SellingPrice]] - Superstore_Data[[#This Row],[Unit Cost]]) * Superstore_Data[[#This Row],[Units]]</f>
        <v>5.9879999999999995</v>
      </c>
      <c r="L26" s="10">
        <f>Superstore_Data[[#This Row],[Profit]]/Superstore_Data[[#This Row],[Sales]]</f>
        <v>0.23076923076923075</v>
      </c>
      <c r="M26" s="10">
        <v>19.96</v>
      </c>
    </row>
    <row r="27" spans="1:13" ht="18" x14ac:dyDescent="0.35">
      <c r="A27" s="11">
        <v>45723</v>
      </c>
      <c r="B27" s="7" t="s">
        <v>24</v>
      </c>
      <c r="C27" s="7" t="s">
        <v>13</v>
      </c>
      <c r="D27" s="5" t="s">
        <v>16</v>
      </c>
      <c r="E27" s="8">
        <v>7</v>
      </c>
      <c r="F27" s="10">
        <v>19.989999999999998</v>
      </c>
      <c r="G27" s="10" t="str">
        <f>TEXT(Superstore_Data[[#This Row],[OrderDate]],"yyyy")</f>
        <v>2025</v>
      </c>
      <c r="H27" s="10" t="str">
        <f>TEXT(Superstore_Data[[#This Row],[OrderDate]],"mmmm")</f>
        <v>March</v>
      </c>
      <c r="I27" s="10">
        <f>Superstore_Data[[#This Row],[Unit Cost]] * 1.3</f>
        <v>25.986999999999998</v>
      </c>
      <c r="J27" s="10">
        <f>Superstore_Data[[#This Row],[Units]] * Superstore_Data[[#This Row],[SellingPrice]]</f>
        <v>181.90899999999999</v>
      </c>
      <c r="K27" s="10">
        <f>(Superstore_Data[[#This Row],[SellingPrice]] - Superstore_Data[[#This Row],[Unit Cost]]) * Superstore_Data[[#This Row],[Units]]</f>
        <v>41.978999999999999</v>
      </c>
      <c r="L27" s="10">
        <f>Superstore_Data[[#This Row],[Profit]]/Superstore_Data[[#This Row],[Sales]]</f>
        <v>0.23076923076923078</v>
      </c>
      <c r="M27" s="10">
        <v>139.92999999999998</v>
      </c>
    </row>
    <row r="28" spans="1:13" ht="18" x14ac:dyDescent="0.35">
      <c r="A28" s="11">
        <v>45740</v>
      </c>
      <c r="B28" s="7" t="s">
        <v>23</v>
      </c>
      <c r="C28" s="7" t="s">
        <v>6</v>
      </c>
      <c r="D28" s="5" t="s">
        <v>21</v>
      </c>
      <c r="E28" s="8">
        <v>50</v>
      </c>
      <c r="F28" s="10">
        <v>4.99</v>
      </c>
      <c r="G28" s="10" t="str">
        <f>TEXT(Superstore_Data[[#This Row],[OrderDate]],"yyyy")</f>
        <v>2025</v>
      </c>
      <c r="H28" s="10" t="str">
        <f>TEXT(Superstore_Data[[#This Row],[OrderDate]],"mmmm")</f>
        <v>March</v>
      </c>
      <c r="I28" s="10">
        <f>Superstore_Data[[#This Row],[Unit Cost]] * 1.3</f>
        <v>6.4870000000000001</v>
      </c>
      <c r="J28" s="10">
        <f>Superstore_Data[[#This Row],[Units]] * Superstore_Data[[#This Row],[SellingPrice]]</f>
        <v>324.35000000000002</v>
      </c>
      <c r="K28" s="10">
        <f>(Superstore_Data[[#This Row],[SellingPrice]] - Superstore_Data[[#This Row],[Unit Cost]]) * Superstore_Data[[#This Row],[Units]]</f>
        <v>74.849999999999994</v>
      </c>
      <c r="L28" s="10">
        <f>Superstore_Data[[#This Row],[Profit]]/Superstore_Data[[#This Row],[Sales]]</f>
        <v>0.23076923076923073</v>
      </c>
      <c r="M28" s="10">
        <v>249.5</v>
      </c>
    </row>
    <row r="29" spans="1:13" ht="18" x14ac:dyDescent="0.35">
      <c r="A29" s="11">
        <v>45757</v>
      </c>
      <c r="B29" s="7" t="s">
        <v>23</v>
      </c>
      <c r="C29" s="7" t="s">
        <v>18</v>
      </c>
      <c r="D29" s="5" t="s">
        <v>15</v>
      </c>
      <c r="E29" s="8">
        <v>66</v>
      </c>
      <c r="F29" s="10">
        <v>1.99</v>
      </c>
      <c r="G29" s="10" t="str">
        <f>TEXT(Superstore_Data[[#This Row],[OrderDate]],"yyyy")</f>
        <v>2025</v>
      </c>
      <c r="H29" s="10" t="str">
        <f>TEXT(Superstore_Data[[#This Row],[OrderDate]],"mmmm")</f>
        <v>April</v>
      </c>
      <c r="I29" s="10">
        <f>Superstore_Data[[#This Row],[Unit Cost]] * 1.3</f>
        <v>2.5870000000000002</v>
      </c>
      <c r="J29" s="10">
        <f>Superstore_Data[[#This Row],[Units]] * Superstore_Data[[#This Row],[SellingPrice]]</f>
        <v>170.74200000000002</v>
      </c>
      <c r="K29" s="10">
        <f>(Superstore_Data[[#This Row],[SellingPrice]] - Superstore_Data[[#This Row],[Unit Cost]]) * Superstore_Data[[#This Row],[Units]]</f>
        <v>39.402000000000015</v>
      </c>
      <c r="L29" s="10">
        <f>Superstore_Data[[#This Row],[Profit]]/Superstore_Data[[#This Row],[Sales]]</f>
        <v>0.23076923076923084</v>
      </c>
      <c r="M29" s="10">
        <v>131.34</v>
      </c>
    </row>
    <row r="30" spans="1:13" ht="18" x14ac:dyDescent="0.35">
      <c r="A30" s="11">
        <v>45774</v>
      </c>
      <c r="B30" s="7" t="s">
        <v>25</v>
      </c>
      <c r="C30" s="7" t="s">
        <v>11</v>
      </c>
      <c r="D30" s="5" t="s">
        <v>17</v>
      </c>
      <c r="E30" s="8">
        <v>96</v>
      </c>
      <c r="F30" s="10">
        <v>4.99</v>
      </c>
      <c r="G30" s="10" t="str">
        <f>TEXT(Superstore_Data[[#This Row],[OrderDate]],"yyyy")</f>
        <v>2025</v>
      </c>
      <c r="H30" s="10" t="str">
        <f>TEXT(Superstore_Data[[#This Row],[OrderDate]],"mmmm")</f>
        <v>April</v>
      </c>
      <c r="I30" s="10">
        <f>Superstore_Data[[#This Row],[Unit Cost]] * 1.3</f>
        <v>6.4870000000000001</v>
      </c>
      <c r="J30" s="10">
        <f>Superstore_Data[[#This Row],[Units]] * Superstore_Data[[#This Row],[SellingPrice]]</f>
        <v>622.75199999999995</v>
      </c>
      <c r="K30" s="10">
        <f>(Superstore_Data[[#This Row],[SellingPrice]] - Superstore_Data[[#This Row],[Unit Cost]]) * Superstore_Data[[#This Row],[Units]]</f>
        <v>143.71199999999999</v>
      </c>
      <c r="L30" s="10">
        <f>Superstore_Data[[#This Row],[Profit]]/Superstore_Data[[#This Row],[Sales]]</f>
        <v>0.23076923076923078</v>
      </c>
      <c r="M30" s="10">
        <v>479.04</v>
      </c>
    </row>
    <row r="31" spans="1:13" ht="18" x14ac:dyDescent="0.35">
      <c r="A31" s="11">
        <v>45791</v>
      </c>
      <c r="B31" s="7" t="s">
        <v>23</v>
      </c>
      <c r="C31" s="7" t="s">
        <v>5</v>
      </c>
      <c r="D31" s="5" t="s">
        <v>15</v>
      </c>
      <c r="E31" s="8">
        <v>53</v>
      </c>
      <c r="F31" s="10">
        <v>1.29</v>
      </c>
      <c r="G31" s="10" t="str">
        <f>TEXT(Superstore_Data[[#This Row],[OrderDate]],"yyyy")</f>
        <v>2025</v>
      </c>
      <c r="H31" s="10" t="str">
        <f>TEXT(Superstore_Data[[#This Row],[OrderDate]],"mmmm")</f>
        <v>May</v>
      </c>
      <c r="I31" s="10">
        <f>Superstore_Data[[#This Row],[Unit Cost]] * 1.3</f>
        <v>1.677</v>
      </c>
      <c r="J31" s="10">
        <f>Superstore_Data[[#This Row],[Units]] * Superstore_Data[[#This Row],[SellingPrice]]</f>
        <v>88.881</v>
      </c>
      <c r="K31" s="10">
        <f>(Superstore_Data[[#This Row],[SellingPrice]] - Superstore_Data[[#This Row],[Unit Cost]]) * Superstore_Data[[#This Row],[Units]]</f>
        <v>20.510999999999999</v>
      </c>
      <c r="L31" s="10">
        <f>Superstore_Data[[#This Row],[Profit]]/Superstore_Data[[#This Row],[Sales]]</f>
        <v>0.23076923076923075</v>
      </c>
      <c r="M31" s="10">
        <v>68.37</v>
      </c>
    </row>
    <row r="32" spans="1:13" ht="18" x14ac:dyDescent="0.35">
      <c r="A32" s="11">
        <v>45808</v>
      </c>
      <c r="B32" s="7" t="s">
        <v>23</v>
      </c>
      <c r="C32" s="7" t="s">
        <v>5</v>
      </c>
      <c r="D32" s="5" t="s">
        <v>16</v>
      </c>
      <c r="E32" s="8">
        <v>80</v>
      </c>
      <c r="F32" s="10">
        <v>8.99</v>
      </c>
      <c r="G32" s="10" t="str">
        <f>TEXT(Superstore_Data[[#This Row],[OrderDate]],"yyyy")</f>
        <v>2025</v>
      </c>
      <c r="H32" s="10" t="str">
        <f>TEXT(Superstore_Data[[#This Row],[OrderDate]],"mmmm")</f>
        <v>May</v>
      </c>
      <c r="I32" s="10">
        <f>Superstore_Data[[#This Row],[Unit Cost]] * 1.3</f>
        <v>11.687000000000001</v>
      </c>
      <c r="J32" s="10">
        <f>Superstore_Data[[#This Row],[Units]] * Superstore_Data[[#This Row],[SellingPrice]]</f>
        <v>934.96</v>
      </c>
      <c r="K32" s="10">
        <f>(Superstore_Data[[#This Row],[SellingPrice]] - Superstore_Data[[#This Row],[Unit Cost]]) * Superstore_Data[[#This Row],[Units]]</f>
        <v>215.76000000000008</v>
      </c>
      <c r="L32" s="10">
        <f>Superstore_Data[[#This Row],[Profit]]/Superstore_Data[[#This Row],[Sales]]</f>
        <v>0.23076923076923084</v>
      </c>
      <c r="M32" s="10">
        <v>719.2</v>
      </c>
    </row>
    <row r="33" spans="1:13" ht="18" x14ac:dyDescent="0.35">
      <c r="A33" s="11">
        <v>45825</v>
      </c>
      <c r="B33" s="7" t="s">
        <v>23</v>
      </c>
      <c r="C33" s="7" t="s">
        <v>8</v>
      </c>
      <c r="D33" s="5" t="s">
        <v>20</v>
      </c>
      <c r="E33" s="8">
        <v>5</v>
      </c>
      <c r="F33" s="10">
        <v>125</v>
      </c>
      <c r="G33" s="10" t="str">
        <f>TEXT(Superstore_Data[[#This Row],[OrderDate]],"yyyy")</f>
        <v>2025</v>
      </c>
      <c r="H33" s="10" t="str">
        <f>TEXT(Superstore_Data[[#This Row],[OrderDate]],"mmmm")</f>
        <v>June</v>
      </c>
      <c r="I33" s="10">
        <f>Superstore_Data[[#This Row],[Unit Cost]] * 1.3</f>
        <v>162.5</v>
      </c>
      <c r="J33" s="10">
        <f>Superstore_Data[[#This Row],[Units]] * Superstore_Data[[#This Row],[SellingPrice]]</f>
        <v>812.5</v>
      </c>
      <c r="K33" s="10">
        <f>(Superstore_Data[[#This Row],[SellingPrice]] - Superstore_Data[[#This Row],[Unit Cost]]) * Superstore_Data[[#This Row],[Units]]</f>
        <v>187.5</v>
      </c>
      <c r="L33" s="10">
        <f>Superstore_Data[[#This Row],[Profit]]/Superstore_Data[[#This Row],[Sales]]</f>
        <v>0.23076923076923078</v>
      </c>
      <c r="M33" s="10">
        <v>625</v>
      </c>
    </row>
    <row r="34" spans="1:13" ht="18" x14ac:dyDescent="0.35">
      <c r="A34" s="11">
        <v>45842</v>
      </c>
      <c r="B34" s="7" t="s">
        <v>25</v>
      </c>
      <c r="C34" s="7" t="s">
        <v>7</v>
      </c>
      <c r="D34" s="5" t="s">
        <v>21</v>
      </c>
      <c r="E34" s="8">
        <v>62</v>
      </c>
      <c r="F34" s="10">
        <v>4.99</v>
      </c>
      <c r="G34" s="10" t="str">
        <f>TEXT(Superstore_Data[[#This Row],[OrderDate]],"yyyy")</f>
        <v>2025</v>
      </c>
      <c r="H34" s="10" t="str">
        <f>TEXT(Superstore_Data[[#This Row],[OrderDate]],"mmmm")</f>
        <v>July</v>
      </c>
      <c r="I34" s="10">
        <f>Superstore_Data[[#This Row],[Unit Cost]] * 1.3</f>
        <v>6.4870000000000001</v>
      </c>
      <c r="J34" s="10">
        <f>Superstore_Data[[#This Row],[Units]] * Superstore_Data[[#This Row],[SellingPrice]]</f>
        <v>402.19400000000002</v>
      </c>
      <c r="K34" s="10">
        <f>(Superstore_Data[[#This Row],[SellingPrice]] - Superstore_Data[[#This Row],[Unit Cost]]) * Superstore_Data[[#This Row],[Units]]</f>
        <v>92.813999999999993</v>
      </c>
      <c r="L34" s="10">
        <f>Superstore_Data[[#This Row],[Profit]]/Superstore_Data[[#This Row],[Sales]]</f>
        <v>0.23076923076923075</v>
      </c>
      <c r="M34" s="10">
        <v>309.38</v>
      </c>
    </row>
    <row r="35" spans="1:13" ht="18" x14ac:dyDescent="0.35">
      <c r="A35" s="11">
        <v>45859</v>
      </c>
      <c r="B35" s="7" t="s">
        <v>23</v>
      </c>
      <c r="C35" s="7" t="s">
        <v>12</v>
      </c>
      <c r="D35" s="5" t="s">
        <v>21</v>
      </c>
      <c r="E35" s="8">
        <v>55</v>
      </c>
      <c r="F35" s="10">
        <v>12.49</v>
      </c>
      <c r="G35" s="10" t="str">
        <f>TEXT(Superstore_Data[[#This Row],[OrderDate]],"yyyy")</f>
        <v>2025</v>
      </c>
      <c r="H35" s="10" t="str">
        <f>TEXT(Superstore_Data[[#This Row],[OrderDate]],"mmmm")</f>
        <v>July</v>
      </c>
      <c r="I35" s="10">
        <f>Superstore_Data[[#This Row],[Unit Cost]] * 1.3</f>
        <v>16.237000000000002</v>
      </c>
      <c r="J35" s="10">
        <f>Superstore_Data[[#This Row],[Units]] * Superstore_Data[[#This Row],[SellingPrice]]</f>
        <v>893.03500000000008</v>
      </c>
      <c r="K35" s="10">
        <f>(Superstore_Data[[#This Row],[SellingPrice]] - Superstore_Data[[#This Row],[Unit Cost]]) * Superstore_Data[[#This Row],[Units]]</f>
        <v>206.08500000000009</v>
      </c>
      <c r="L35" s="10">
        <f>Superstore_Data[[#This Row],[Profit]]/Superstore_Data[[#This Row],[Sales]]</f>
        <v>0.23076923076923087</v>
      </c>
      <c r="M35" s="10">
        <v>686.95</v>
      </c>
    </row>
    <row r="36" spans="1:13" ht="18" x14ac:dyDescent="0.35">
      <c r="A36" s="11">
        <v>45876</v>
      </c>
      <c r="B36" s="7" t="s">
        <v>23</v>
      </c>
      <c r="C36" s="7" t="s">
        <v>8</v>
      </c>
      <c r="D36" s="5" t="s">
        <v>21</v>
      </c>
      <c r="E36" s="8">
        <v>42</v>
      </c>
      <c r="F36" s="10">
        <v>23.95</v>
      </c>
      <c r="G36" s="10" t="str">
        <f>TEXT(Superstore_Data[[#This Row],[OrderDate]],"yyyy")</f>
        <v>2025</v>
      </c>
      <c r="H36" s="10" t="str">
        <f>TEXT(Superstore_Data[[#This Row],[OrderDate]],"mmmm")</f>
        <v>August</v>
      </c>
      <c r="I36" s="10">
        <f>Superstore_Data[[#This Row],[Unit Cost]] * 1.3</f>
        <v>31.135000000000002</v>
      </c>
      <c r="J36" s="10">
        <f>Superstore_Data[[#This Row],[Units]] * Superstore_Data[[#This Row],[SellingPrice]]</f>
        <v>1307.67</v>
      </c>
      <c r="K36" s="10">
        <f>(Superstore_Data[[#This Row],[SellingPrice]] - Superstore_Data[[#This Row],[Unit Cost]]) * Superstore_Data[[#This Row],[Units]]</f>
        <v>301.7700000000001</v>
      </c>
      <c r="L36" s="10">
        <f>Superstore_Data[[#This Row],[Profit]]/Superstore_Data[[#This Row],[Sales]]</f>
        <v>0.23076923076923084</v>
      </c>
      <c r="M36" s="10">
        <v>1005.9</v>
      </c>
    </row>
    <row r="37" spans="1:13" ht="18" x14ac:dyDescent="0.35">
      <c r="A37" s="11">
        <v>45893</v>
      </c>
      <c r="B37" s="7" t="s">
        <v>24</v>
      </c>
      <c r="C37" s="7" t="s">
        <v>13</v>
      </c>
      <c r="D37" s="5" t="s">
        <v>20</v>
      </c>
      <c r="E37" s="8">
        <v>3</v>
      </c>
      <c r="F37" s="10">
        <v>275</v>
      </c>
      <c r="G37" s="10" t="str">
        <f>TEXT(Superstore_Data[[#This Row],[OrderDate]],"yyyy")</f>
        <v>2025</v>
      </c>
      <c r="H37" s="10" t="str">
        <f>TEXT(Superstore_Data[[#This Row],[OrderDate]],"mmmm")</f>
        <v>August</v>
      </c>
      <c r="I37" s="10">
        <f>Superstore_Data[[#This Row],[Unit Cost]] * 1.3</f>
        <v>357.5</v>
      </c>
      <c r="J37" s="10">
        <f>Superstore_Data[[#This Row],[Units]] * Superstore_Data[[#This Row],[SellingPrice]]</f>
        <v>1072.5</v>
      </c>
      <c r="K37" s="10">
        <f>(Superstore_Data[[#This Row],[SellingPrice]] - Superstore_Data[[#This Row],[Unit Cost]]) * Superstore_Data[[#This Row],[Units]]</f>
        <v>247.5</v>
      </c>
      <c r="L37" s="10">
        <f>Superstore_Data[[#This Row],[Profit]]/Superstore_Data[[#This Row],[Sales]]</f>
        <v>0.23076923076923078</v>
      </c>
      <c r="M37" s="10">
        <v>825</v>
      </c>
    </row>
    <row r="38" spans="1:13" ht="18" x14ac:dyDescent="0.35">
      <c r="A38" s="11">
        <v>45910</v>
      </c>
      <c r="B38" s="7" t="s">
        <v>23</v>
      </c>
      <c r="C38" s="7" t="s">
        <v>5</v>
      </c>
      <c r="D38" s="5" t="s">
        <v>15</v>
      </c>
      <c r="E38" s="8">
        <v>7</v>
      </c>
      <c r="F38" s="10">
        <v>1.29</v>
      </c>
      <c r="G38" s="10" t="str">
        <f>TEXT(Superstore_Data[[#This Row],[OrderDate]],"yyyy")</f>
        <v>2025</v>
      </c>
      <c r="H38" s="10" t="str">
        <f>TEXT(Superstore_Data[[#This Row],[OrderDate]],"mmmm")</f>
        <v>September</v>
      </c>
      <c r="I38" s="10">
        <f>Superstore_Data[[#This Row],[Unit Cost]] * 1.3</f>
        <v>1.677</v>
      </c>
      <c r="J38" s="10">
        <f>Superstore_Data[[#This Row],[Units]] * Superstore_Data[[#This Row],[SellingPrice]]</f>
        <v>11.739000000000001</v>
      </c>
      <c r="K38" s="10">
        <f>(Superstore_Data[[#This Row],[SellingPrice]] - Superstore_Data[[#This Row],[Unit Cost]]) * Superstore_Data[[#This Row],[Units]]</f>
        <v>2.7090000000000001</v>
      </c>
      <c r="L38" s="10">
        <f>Superstore_Data[[#This Row],[Profit]]/Superstore_Data[[#This Row],[Sales]]</f>
        <v>0.23076923076923075</v>
      </c>
      <c r="M38" s="10">
        <v>9.0300000000000011</v>
      </c>
    </row>
    <row r="39" spans="1:13" ht="18" x14ac:dyDescent="0.35">
      <c r="A39" s="11">
        <v>45927</v>
      </c>
      <c r="B39" s="7" t="s">
        <v>24</v>
      </c>
      <c r="C39" s="7" t="s">
        <v>13</v>
      </c>
      <c r="D39" s="5" t="s">
        <v>17</v>
      </c>
      <c r="E39" s="8">
        <v>76</v>
      </c>
      <c r="F39" s="10">
        <v>1.99</v>
      </c>
      <c r="G39" s="10" t="str">
        <f>TEXT(Superstore_Data[[#This Row],[OrderDate]],"yyyy")</f>
        <v>2025</v>
      </c>
      <c r="H39" s="10" t="str">
        <f>TEXT(Superstore_Data[[#This Row],[OrderDate]],"mmmm")</f>
        <v>September</v>
      </c>
      <c r="I39" s="10">
        <f>Superstore_Data[[#This Row],[Unit Cost]] * 1.3</f>
        <v>2.5870000000000002</v>
      </c>
      <c r="J39" s="10">
        <f>Superstore_Data[[#This Row],[Units]] * Superstore_Data[[#This Row],[SellingPrice]]</f>
        <v>196.61200000000002</v>
      </c>
      <c r="K39" s="10">
        <f>(Superstore_Data[[#This Row],[SellingPrice]] - Superstore_Data[[#This Row],[Unit Cost]]) * Superstore_Data[[#This Row],[Units]]</f>
        <v>45.372000000000014</v>
      </c>
      <c r="L39" s="10">
        <f>Superstore_Data[[#This Row],[Profit]]/Superstore_Data[[#This Row],[Sales]]</f>
        <v>0.23076923076923081</v>
      </c>
      <c r="M39" s="10">
        <v>151.24</v>
      </c>
    </row>
    <row r="40" spans="1:13" ht="18" x14ac:dyDescent="0.35">
      <c r="A40" s="11">
        <v>45944</v>
      </c>
      <c r="B40" s="7" t="s">
        <v>24</v>
      </c>
      <c r="C40" s="7" t="s">
        <v>9</v>
      </c>
      <c r="D40" s="5" t="s">
        <v>16</v>
      </c>
      <c r="E40" s="8">
        <v>57</v>
      </c>
      <c r="F40" s="10">
        <v>19.989999999999998</v>
      </c>
      <c r="G40" s="10" t="str">
        <f>TEXT(Superstore_Data[[#This Row],[OrderDate]],"yyyy")</f>
        <v>2025</v>
      </c>
      <c r="H40" s="10" t="str">
        <f>TEXT(Superstore_Data[[#This Row],[OrderDate]],"mmmm")</f>
        <v>October</v>
      </c>
      <c r="I40" s="10">
        <f>Superstore_Data[[#This Row],[Unit Cost]] * 1.3</f>
        <v>25.986999999999998</v>
      </c>
      <c r="J40" s="10">
        <f>Superstore_Data[[#This Row],[Units]] * Superstore_Data[[#This Row],[SellingPrice]]</f>
        <v>1481.259</v>
      </c>
      <c r="K40" s="10">
        <f>(Superstore_Data[[#This Row],[SellingPrice]] - Superstore_Data[[#This Row],[Unit Cost]]) * Superstore_Data[[#This Row],[Units]]</f>
        <v>341.82900000000001</v>
      </c>
      <c r="L40" s="10">
        <f>Superstore_Data[[#This Row],[Profit]]/Superstore_Data[[#This Row],[Sales]]</f>
        <v>0.23076923076923078</v>
      </c>
      <c r="M40" s="10">
        <v>1139.4299999999998</v>
      </c>
    </row>
    <row r="41" spans="1:13" ht="18" x14ac:dyDescent="0.35">
      <c r="A41" s="11">
        <v>45961</v>
      </c>
      <c r="B41" s="7" t="s">
        <v>23</v>
      </c>
      <c r="C41" s="7" t="s">
        <v>18</v>
      </c>
      <c r="D41" s="5" t="s">
        <v>15</v>
      </c>
      <c r="E41" s="8">
        <v>14</v>
      </c>
      <c r="F41" s="10">
        <v>1.29</v>
      </c>
      <c r="G41" s="10" t="str">
        <f>TEXT(Superstore_Data[[#This Row],[OrderDate]],"yyyy")</f>
        <v>2025</v>
      </c>
      <c r="H41" s="10" t="str">
        <f>TEXT(Superstore_Data[[#This Row],[OrderDate]],"mmmm")</f>
        <v>October</v>
      </c>
      <c r="I41" s="10">
        <f>Superstore_Data[[#This Row],[Unit Cost]] * 1.3</f>
        <v>1.677</v>
      </c>
      <c r="J41" s="10">
        <f>Superstore_Data[[#This Row],[Units]] * Superstore_Data[[#This Row],[SellingPrice]]</f>
        <v>23.478000000000002</v>
      </c>
      <c r="K41" s="10">
        <f>(Superstore_Data[[#This Row],[SellingPrice]] - Superstore_Data[[#This Row],[Unit Cost]]) * Superstore_Data[[#This Row],[Units]]</f>
        <v>5.4180000000000001</v>
      </c>
      <c r="L41" s="10">
        <f>Superstore_Data[[#This Row],[Profit]]/Superstore_Data[[#This Row],[Sales]]</f>
        <v>0.23076923076923075</v>
      </c>
      <c r="M41" s="10">
        <v>18.060000000000002</v>
      </c>
    </row>
    <row r="42" spans="1:13" ht="18" x14ac:dyDescent="0.35">
      <c r="A42" s="11">
        <v>45978</v>
      </c>
      <c r="B42" s="7" t="s">
        <v>23</v>
      </c>
      <c r="C42" s="7" t="s">
        <v>6</v>
      </c>
      <c r="D42" s="5" t="s">
        <v>16</v>
      </c>
      <c r="E42" s="8">
        <v>11</v>
      </c>
      <c r="F42" s="10">
        <v>4.99</v>
      </c>
      <c r="G42" s="10" t="str">
        <f>TEXT(Superstore_Data[[#This Row],[OrderDate]],"yyyy")</f>
        <v>2025</v>
      </c>
      <c r="H42" s="10" t="str">
        <f>TEXT(Superstore_Data[[#This Row],[OrderDate]],"mmmm")</f>
        <v>November</v>
      </c>
      <c r="I42" s="10">
        <f>Superstore_Data[[#This Row],[Unit Cost]] * 1.3</f>
        <v>6.4870000000000001</v>
      </c>
      <c r="J42" s="10">
        <f>Superstore_Data[[#This Row],[Units]] * Superstore_Data[[#This Row],[SellingPrice]]</f>
        <v>71.356999999999999</v>
      </c>
      <c r="K42" s="10">
        <f>(Superstore_Data[[#This Row],[SellingPrice]] - Superstore_Data[[#This Row],[Unit Cost]]) * Superstore_Data[[#This Row],[Units]]</f>
        <v>16.466999999999999</v>
      </c>
      <c r="L42" s="10">
        <f>Superstore_Data[[#This Row],[Profit]]/Superstore_Data[[#This Row],[Sales]]</f>
        <v>0.23076923076923075</v>
      </c>
      <c r="M42" s="10">
        <v>54.89</v>
      </c>
    </row>
    <row r="43" spans="1:13" ht="18" x14ac:dyDescent="0.35">
      <c r="A43" s="11">
        <v>45995</v>
      </c>
      <c r="B43" s="7" t="s">
        <v>23</v>
      </c>
      <c r="C43" s="7" t="s">
        <v>6</v>
      </c>
      <c r="D43" s="5" t="s">
        <v>16</v>
      </c>
      <c r="E43" s="8">
        <v>94</v>
      </c>
      <c r="F43" s="10">
        <v>19.989999999999998</v>
      </c>
      <c r="G43" s="10" t="str">
        <f>TEXT(Superstore_Data[[#This Row],[OrderDate]],"yyyy")</f>
        <v>2025</v>
      </c>
      <c r="H43" s="10" t="str">
        <f>TEXT(Superstore_Data[[#This Row],[OrderDate]],"mmmm")</f>
        <v>December</v>
      </c>
      <c r="I43" s="10">
        <f>Superstore_Data[[#This Row],[Unit Cost]] * 1.3</f>
        <v>25.986999999999998</v>
      </c>
      <c r="J43" s="10">
        <f>Superstore_Data[[#This Row],[Units]] * Superstore_Data[[#This Row],[SellingPrice]]</f>
        <v>2442.7779999999998</v>
      </c>
      <c r="K43" s="10">
        <f>(Superstore_Data[[#This Row],[SellingPrice]] - Superstore_Data[[#This Row],[Unit Cost]]) * Superstore_Data[[#This Row],[Units]]</f>
        <v>563.71799999999996</v>
      </c>
      <c r="L43" s="10">
        <f>Superstore_Data[[#This Row],[Profit]]/Superstore_Data[[#This Row],[Sales]]</f>
        <v>0.23076923076923078</v>
      </c>
      <c r="M43" s="10">
        <v>1879.06</v>
      </c>
    </row>
    <row r="44" spans="1:13" ht="18" x14ac:dyDescent="0.35">
      <c r="A44" s="11">
        <v>46012</v>
      </c>
      <c r="B44" s="7" t="s">
        <v>23</v>
      </c>
      <c r="C44" s="7" t="s">
        <v>18</v>
      </c>
      <c r="D44" s="5" t="s">
        <v>16</v>
      </c>
      <c r="E44" s="8">
        <v>28</v>
      </c>
      <c r="F44" s="10">
        <v>4.99</v>
      </c>
      <c r="G44" s="10" t="str">
        <f>TEXT(Superstore_Data[[#This Row],[OrderDate]],"yyyy")</f>
        <v>2025</v>
      </c>
      <c r="H44" s="10" t="str">
        <f>TEXT(Superstore_Data[[#This Row],[OrderDate]],"mmmm")</f>
        <v>December</v>
      </c>
      <c r="I44" s="10">
        <f>Superstore_Data[[#This Row],[Unit Cost]] * 1.3</f>
        <v>6.4870000000000001</v>
      </c>
      <c r="J44" s="10">
        <f>Superstore_Data[[#This Row],[Units]] * Superstore_Data[[#This Row],[SellingPrice]]</f>
        <v>181.636</v>
      </c>
      <c r="K44" s="10">
        <f>(Superstore_Data[[#This Row],[SellingPrice]] - Superstore_Data[[#This Row],[Unit Cost]]) * Superstore_Data[[#This Row],[Units]]</f>
        <v>41.915999999999997</v>
      </c>
      <c r="L44" s="10">
        <f>Superstore_Data[[#This Row],[Profit]]/Superstore_Data[[#This Row],[Sales]]</f>
        <v>0.23076923076923075</v>
      </c>
      <c r="M44" s="10">
        <v>139.72</v>
      </c>
    </row>
  </sheetData>
  <phoneticPr fontId="0" type="noConversion"/>
  <pageMargins left="0.75" right="0.75" top="1" bottom="1" header="0.5" footer="0.5"/>
  <pageSetup orientation="portrait" r:id="rId1"/>
  <headerFooter alignWithMargins="0">
    <oddFooter>&amp;LDeveloped by Contextures Inc.&amp;Cwww.contextures.com&amp;R&amp;D</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5B82-4DA7-41A6-B4AE-3ED124F4AA4B}">
  <dimension ref="A1:V32"/>
  <sheetViews>
    <sheetView showGridLines="0" topLeftCell="B5" zoomScale="93" workbookViewId="0">
      <selection activeCell="N35" sqref="N35"/>
    </sheetView>
  </sheetViews>
  <sheetFormatPr defaultRowHeight="18" x14ac:dyDescent="0.35"/>
  <cols>
    <col min="1" max="1" width="11.9140625" style="15" customWidth="1"/>
    <col min="2" max="2" width="11.08203125" style="15" customWidth="1"/>
    <col min="3" max="3" width="11.5" style="15" customWidth="1"/>
    <col min="4" max="4" width="10.58203125" style="15" customWidth="1"/>
    <col min="5" max="5" width="18.33203125" style="15" customWidth="1"/>
    <col min="6" max="6" width="16.08203125" style="15" customWidth="1"/>
    <col min="7" max="7" width="16.25" style="15" customWidth="1"/>
    <col min="8" max="8" width="9.58203125" style="15" bestFit="1" customWidth="1"/>
    <col min="9" max="9" width="15.9140625" style="15" customWidth="1"/>
    <col min="10" max="10" width="19.1640625" style="15" bestFit="1" customWidth="1"/>
    <col min="11" max="11" width="6.75" style="15" customWidth="1"/>
    <col min="12" max="16384" width="8.6640625" style="15"/>
  </cols>
  <sheetData>
    <row r="1" spans="1:22" ht="21" customHeight="1" x14ac:dyDescent="0.35">
      <c r="A1" s="25" t="s">
        <v>44</v>
      </c>
      <c r="B1" s="25"/>
      <c r="C1" s="25"/>
      <c r="D1" s="25"/>
      <c r="E1" s="25"/>
      <c r="F1" s="25"/>
      <c r="G1" s="25"/>
      <c r="H1" s="25"/>
      <c r="I1" s="25"/>
      <c r="J1" s="25"/>
      <c r="K1" s="25"/>
      <c r="L1" s="25"/>
      <c r="M1" s="27"/>
      <c r="N1" s="27"/>
      <c r="O1" s="16"/>
      <c r="P1" s="16"/>
      <c r="Q1" s="16"/>
      <c r="R1" s="16"/>
      <c r="S1" s="16"/>
      <c r="T1" s="16"/>
      <c r="U1" s="16"/>
      <c r="V1" s="16"/>
    </row>
    <row r="2" spans="1:22" ht="18" customHeight="1" x14ac:dyDescent="0.35">
      <c r="A2" s="25"/>
      <c r="B2" s="25"/>
      <c r="C2" s="25"/>
      <c r="D2" s="25"/>
      <c r="E2" s="25"/>
      <c r="F2" s="25"/>
      <c r="G2" s="25"/>
      <c r="H2" s="25"/>
      <c r="I2" s="25"/>
      <c r="J2" s="25"/>
      <c r="K2" s="25"/>
      <c r="L2" s="25"/>
      <c r="M2" s="27"/>
      <c r="N2" s="27"/>
      <c r="O2" s="16"/>
      <c r="P2" s="16"/>
      <c r="Q2" s="16"/>
      <c r="R2" s="16"/>
      <c r="S2" s="16"/>
      <c r="T2" s="16"/>
      <c r="U2" s="16"/>
      <c r="V2" s="16"/>
    </row>
    <row r="3" spans="1:22" ht="19.8" customHeight="1" x14ac:dyDescent="0.35">
      <c r="A3" s="25"/>
      <c r="B3" s="25"/>
      <c r="C3" s="25"/>
      <c r="D3" s="25"/>
      <c r="E3" s="25"/>
      <c r="F3" s="25"/>
      <c r="G3" s="25"/>
      <c r="H3" s="25"/>
      <c r="I3" s="25"/>
      <c r="J3" s="25"/>
      <c r="K3" s="25"/>
      <c r="L3" s="25"/>
      <c r="M3" s="27"/>
      <c r="N3" s="27"/>
    </row>
    <row r="4" spans="1:22" ht="19.8" x14ac:dyDescent="0.35">
      <c r="B4" s="18" t="s">
        <v>38</v>
      </c>
      <c r="D4" s="18" t="s">
        <v>39</v>
      </c>
      <c r="F4" s="20" t="s">
        <v>40</v>
      </c>
      <c r="H4" s="20" t="s">
        <v>42</v>
      </c>
      <c r="J4" s="23" t="s">
        <v>41</v>
      </c>
      <c r="K4" s="26"/>
    </row>
    <row r="5" spans="1:22" ht="19.8" x14ac:dyDescent="0.35">
      <c r="B5" s="19">
        <f>SUM(Superstore_Data[Sales])</f>
        <v>25516.243999999999</v>
      </c>
      <c r="D5" s="19">
        <f>SUM(Superstore_Data[Profit])</f>
        <v>5888.3639999999996</v>
      </c>
      <c r="F5" s="21">
        <f>Superstore_Data[[#This Row],[Profit]] / Superstore_Data[[#This Row],[Sales]]</f>
        <v>0.23076923076923075</v>
      </c>
      <c r="H5" s="22">
        <f>SUM(Superstore_Data[Units])</f>
        <v>2121</v>
      </c>
      <c r="J5" s="24">
        <f>AVERAGE(Superstore_Data[SellingPrice])</f>
        <v>26.401186046511633</v>
      </c>
      <c r="K5" s="26"/>
    </row>
    <row r="31" spans="4:9" x14ac:dyDescent="0.35">
      <c r="D31" s="17" t="s">
        <v>43</v>
      </c>
      <c r="E31" s="17"/>
      <c r="F31" s="17"/>
      <c r="G31" s="17"/>
      <c r="H31" s="17"/>
      <c r="I31" s="17"/>
    </row>
    <row r="32" spans="4:9" x14ac:dyDescent="0.35">
      <c r="D32" s="17"/>
      <c r="E32" s="17"/>
      <c r="F32" s="17"/>
      <c r="G32" s="17"/>
      <c r="H32" s="17"/>
      <c r="I32" s="17"/>
    </row>
  </sheetData>
  <mergeCells count="2">
    <mergeCell ref="D31:I32"/>
    <mergeCell ref="A1:L3"/>
  </mergeCells>
  <conditionalFormatting sqref="O3">
    <cfRule type="iconSet" priority="1">
      <iconSet iconSet="3Arrows">
        <cfvo type="percent" val="0"/>
        <cfvo type="num" val="0.1"/>
        <cfvo type="num" val="0.2"/>
      </iconSet>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Yearly Sales Summary</vt:lpstr>
      <vt:lpstr>Sales by Region chart</vt:lpstr>
      <vt:lpstr>Monthly Sales Trend chart</vt:lpstr>
      <vt:lpstr>Sales by Rep</vt:lpstr>
      <vt:lpstr>SalesOrders</vt:lpstr>
      <vt:lpstr>Dashboard</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katta vivek</cp:lastModifiedBy>
  <dcterms:created xsi:type="dcterms:W3CDTF">2004-05-01T18:16:56Z</dcterms:created>
  <dcterms:modified xsi:type="dcterms:W3CDTF">2026-01-18T15:36:51Z</dcterms:modified>
  <cp:category>Excel</cp:category>
</cp:coreProperties>
</file>